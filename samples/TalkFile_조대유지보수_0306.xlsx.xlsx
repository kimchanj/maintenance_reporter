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workspace\python\Portfolio\softnet\program\maintenance_reporter\samples\"/>
    </mc:Choice>
  </mc:AlternateContent>
  <bookViews>
    <workbookView xWindow="0" yWindow="0" windowWidth="17370" windowHeight="13370"/>
  </bookViews>
  <sheets>
    <sheet name="Sheet" sheetId="1" r:id="rId1"/>
  </sheets>
  <definedNames>
    <definedName name="_xlnm._FilterDatabase" localSheetId="0" hidden="1">Sheet!$A$1:$M$1</definedName>
  </definedNames>
  <calcPr calcId="162913"/>
</workbook>
</file>

<file path=xl/calcChain.xml><?xml version="1.0" encoding="utf-8"?>
<calcChain xmlns="http://schemas.openxmlformats.org/spreadsheetml/2006/main">
  <c r="J14" i="1" l="1"/>
</calcChain>
</file>

<file path=xl/sharedStrings.xml><?xml version="1.0" encoding="utf-8"?>
<sst xmlns="http://schemas.openxmlformats.org/spreadsheetml/2006/main" count="157" uniqueCount="78">
  <si>
    <t>순번</t>
  </si>
  <si>
    <t>요구일자</t>
  </si>
  <si>
    <t>2026-01-05</t>
  </si>
  <si>
    <t>2026-01-29</t>
  </si>
  <si>
    <t>2026-02-11</t>
  </si>
  <si>
    <t>2026-02-26</t>
  </si>
  <si>
    <t>2026-03-03</t>
  </si>
  <si>
    <t>2026-03-04</t>
  </si>
  <si>
    <t>2026-03-05</t>
  </si>
  <si>
    <t>2026-03-06</t>
  </si>
  <si>
    <t>처리일자</t>
  </si>
  <si>
    <t>처리자</t>
  </si>
  <si>
    <t>박도현</t>
  </si>
  <si>
    <t>전도환</t>
  </si>
  <si>
    <t>한길종</t>
  </si>
  <si>
    <t>유찬빈</t>
  </si>
  <si>
    <t>김민영</t>
  </si>
  <si>
    <t>회사</t>
  </si>
  <si>
    <t>조선대학교병원(운영)</t>
  </si>
  <si>
    <t>요구자(부서/성명)</t>
  </si>
  <si>
    <t>전산팀/고도영</t>
  </si>
  <si>
    <t>의공팀 / 정남헌</t>
  </si>
  <si>
    <t>전산팀／박다희</t>
  </si>
  <si>
    <t>총무팀/나희연</t>
  </si>
  <si>
    <t>담당파트</t>
  </si>
  <si>
    <t>물류</t>
  </si>
  <si>
    <t>급여</t>
  </si>
  <si>
    <t>인사</t>
  </si>
  <si>
    <t>기타</t>
  </si>
  <si>
    <t>요구사항</t>
  </si>
  <si>
    <t>자산업무관리-자산장부-자산현황
: 출력한 바코드 번호와 실제로 스캔한 바코드 번호와 매핑 불가 -&gt; 각 바코드와 자산 데이터가 매칭이 안됨
: 정상적으로 매핑이 됬는지 확인하는 방법 문의</t>
  </si>
  <si>
    <t>연말정산 프로그램 사용법에 대한 메뉴얼 요청</t>
  </si>
  <si>
    <t>연차 생성 변경 요청
직위 진료전문교수 B214
: 현재 연차 생성 방법은 1년마다 15개씩 생성
  -&gt; 1년 미만 15개씩 생성, 2년 근속 시 연차 1개씩 추가 부여(이 기준을 입사일자 기준으로 2년 근속시, 연차 추가 부여가능하도록)
** 메일로 연차 생성 기준자료 전송드렸습니다. **</t>
  </si>
  <si>
    <t>** 발생하는 상황 **
사용부서에서 관리부서 반납실로 반납 이동의뢰를 진행함 -&gt; 관리부서에서 반납실에 있는 자산 중에서 타 사용부서로 다시 이동의뢰를 함 -&gt; 그 부서에서 사용 후 다시 반납함.
위 상황에서, 자산은 처음 반납된 상태 그대로 이동을 하는 것 ( 관리상태는 정상이지만, 반납여부가 계속 반납으로 이동이 됨) -&gt; 반납이 2번 이상된 자산들이 발생을 함.
=&gt; 관리부서 반납실에서 타 부서로 다시 이동을 보낼 때, 반납 상태를 해제하고 보낼 수 있게끔 기능이 가능한지 문의</t>
  </si>
  <si>
    <t>이동의뢰서
: 부서이동이면서 반납에 체크된 이동의뢰에 한해서
  이동의뢰서-이동구분에 부서이동(반납) 으로 표기 요청</t>
  </si>
  <si>
    <t>발령구분관리
: 발령일자적용여부 체크되어있으면 어떤 프로세스를 거치는지 문의
: 적용차이일수 1로 설정되어있으면 어떤 프로세스를 거치는지 문의
ex. 보직면직 발령의 경우, 발령일자적용여부가 체크되어있음. 체크여부때문에 snt.ZSUMUSRB/ ZSUMUSRD의 TODD가 (발령일자-1일자)로 막히는 것인지 궁금함.
ex. 보직면직 발령의 경우, snt.ZSUMUSRB/ ZSUMUSRD의 TODD가 20260227로 설정된 사원들이 존재함.</t>
  </si>
  <si>
    <t>[자산업무관리] - [예방점검] 관련 내용에서
예방점검결과 출력할때,
제목 : 의료기기 예방점검표 -&gt; 의료기기 정기점검표
결재 : 의공실 -&gt; 의공팀
으로 변경 부탁드립니다.</t>
  </si>
  <si>
    <t>인사업무관리-직무평가-직무기술서작성
: 해당 화면을 개인메뉴에 추가 가능한지 문의( 자신의 직무기술서를 본인이 작성할 수 있도록 )</t>
  </si>
  <si>
    <t>근무표근태신청점검현황
: 근무연월 2026-01 점검필요자료조회 체크 후 조회되는 사원들 점검 요청
** 점검 사원 리스트는 메일로 전송드렸습니다. **</t>
  </si>
  <si>
    <t>신규부서 코드 생성 시 기존 부서코드와 OCS 코드가 동일하게 입력 
기존 : N0167 / OCS : 211020000001
신규 : N0251 / OCS : 211020000001
부서관리테이블 : CDTB0120 
설치위치 : ASTB0040 
부서관리테이블 OCS 코드는 동일하게 관리하고, 설치위치는 별개로 관리해도 문제가 없는지 확인요청</t>
  </si>
  <si>
    <t>제출구분관리 : 회의실사용신청 권한을 1명 더 부여 가능한지 문의 (회의실 별로 담당자 권한 부여가 가능한지 문의)</t>
  </si>
  <si>
    <t>긴급) 근무표근태신청점검현황에서 휴직 후 복직, 휴직, 부서변경 등으로 인해 변동이 있는 사원들의 근무표 사용량이 다르게 따라 옵니다.확인 후 수정 부탁드립니다.</t>
  </si>
  <si>
    <t>처리내용</t>
  </si>
  <si>
    <t>[업무처리] 연말정산메뉴얼_사용자 작성
[업무처리] 연말정산메뉴얼_관리자 작성
[결과안내] 반영하거나 수정해야할부분 피드백 주시기로 협의하였습니다</t>
  </si>
  <si>
    <t>[업무처리] 함수 변경작업 진행 및 테스트 진행.
[업무처리] 연차기준관리 계산식 변경 및 테스트 작업
[업무처리] 입사일자기준 연차관리시 해당 모듈 뿐이 아닌 다른모듈에도 영향을 줄수 있어 해당내용 분석진행.
[요청파악] 요구자와 통화하여 해당 요구사항 반영시 기존 생성 자료에 대한 처리를 문의하였으며 확인 후 연락주시기로 하였습니다.
[업무처리] 진료전문교수 사용기간관련 분석 및 설계작업.
[업무처리] 연차분류기준 일원화 작업.
[업무처리] 연차기준관리 수정작업.
[업무처리] 관련장부 수정작업.
[업무처리] 운영서버 적용작업 및 검증작업
[결과안내] 요구자와 통화하여 변경내용을 안내하였습니다.</t>
  </si>
  <si>
    <t>[요청파악] 
AS02644A-001678 관련 건으로 전산팀에서 실무 선생님과 통화 결과
폐기처분 된 자산에 한해서 반납을 막는 것이 아니라
첫번째 사용부서가 반납을 한 이후 자산 관리부서가 타 부서에 다시 대여를 해주었을 때 생기는 문제에 대한 것이었음
[요청파악] 이동의뢰현황은 이동의뢰내역에 대한 정보를 표출하는 화면이므로 해당 요구사항과 같이 유동적으로 반납상태가 변동이 되는 메뉴는 아닙니다. 해당 자산에 대한 이동의뢰에 대한 현재 상태를 확인하기 위해서는 메뉴를 개발하여야 하므로 해당건 주간회의진행후 다시 연락 드리도록 하겠습니다
[업무처리] 이동의뢰에 대한 현황은 해당 이동의뢰건에 대한 상태를 나타내는 정보입니다. 프로세스는 추가하기는 불가합니다.
[결과안내] 담당자 안내 완료</t>
  </si>
  <si>
    <t>[업무처리] 작업 및 테스트 진행.
[업무처리] 담당자 연결후 안내완료</t>
  </si>
  <si>
    <t>[업무처리] 작업 진행중.
[결과안내] 담당자 연결후 안내완료</t>
  </si>
  <si>
    <t>[요청파악] 개인메뉴 추가 가능여부 물어보셨고, 추가시 자신의 직무기술서만 보이는지 물어보셨습니다.
[업무처리] 가능하다고 담당자 안내완료
[업무처리] 아직 결정난게 없어서 추후에 올려주신다고 하셨습니다.</t>
  </si>
  <si>
    <t>[요청파악] 근무연월 2026-02로 조회시 메일로 보내주신 엑셀자료에 특정사원들이 나오는 이유 문의 요청
[요청파악] 보내주신 엑셀자료에서 근무표사용량이 근태신청사용량이 2배로 나오고 있다고 합니다.
ex) 나미아 근무표사용량 56 / 근태신청사용량 28 
해당 문제 수정 요청 하셨습니다.
[분석설계] 특정사원들이 동일한일자에 다른근무지에 근무표작성한 자료가 존재하여 발생하는 문제로 확인하였습니다.
[업무처리] 조회시 동일한날에 같은코드가 있는경우 1개만 계산되도록 수정하였습니다.
[결과안내] 요구자와 통화하여 분석및처리내용을 안내하였습니다.
총무팀 나희연선생님이 올려주신 요구사항(AS02644A-001713)은 공요해주기로 하셨습니다.</t>
  </si>
  <si>
    <t>[업무처리] 신규부서에 대해서 OCS코드가 동일할경우 기존에 존재하는 다른모듈에 영향을 줄수 있어 해당사항 안내.
[분석설계] 현재 ocs 부서코드와 메디인포 부서코드가 1=1 매칭이 되게 되어있음
자산 위치코드의 경우 mis 테이블과 메디인포 부서코드을 통해서 확인이됨
[요청파악] 요구자와 통화하여 해당건에 대한내용은 롤백하는것으로 협의하였습니다.</t>
  </si>
  <si>
    <t>[업무처리] 담당자에게 회의실 별 관리자 설정 불가 안내</t>
  </si>
  <si>
    <t>[요청파악] AS02644A-001709 동일건
[분석설계] 특정사원들이 동일한일자에 다른근무지에 근무표작성한 자료가 존재하여 발생하는 문제로 확인하였습니다.
[업무처리] 조회시 동일한날에 같은코드가 있는경우 1개만 계산되도록 수정하였습니다.
[결과안내] 전산팀 고도영선생님이 동일한건으로 올려주셨던 요구사항이 존재하여 안내하였으며 본 요구사항 요구자에게 공요해주기로 하셨습니다.</t>
  </si>
  <si>
    <t>진행상태</t>
  </si>
  <si>
    <t>완료</t>
  </si>
  <si>
    <t>불가</t>
  </si>
  <si>
    <t>철회</t>
  </si>
  <si>
    <t>요구번호</t>
  </si>
  <si>
    <t>AS02644A-001596</t>
  </si>
  <si>
    <t>AS02644A-001645</t>
  </si>
  <si>
    <t>AS02644A-001684</t>
  </si>
  <si>
    <t>AS02644A-001703</t>
  </si>
  <si>
    <t>AS02644A-001704</t>
  </si>
  <si>
    <t>AS02644A-001706</t>
  </si>
  <si>
    <t>AS02644A-001707</t>
  </si>
  <si>
    <t>AS02644A-001708</t>
  </si>
  <si>
    <t>AS02644A-001709</t>
  </si>
  <si>
    <t>AS02644A-001710</t>
  </si>
  <si>
    <t>AS02644A-001712</t>
  </si>
  <si>
    <t>AS02644A-001713</t>
  </si>
  <si>
    <t>배포일자</t>
  </si>
  <si>
    <t/>
  </si>
  <si>
    <t>긴급배포</t>
  </si>
  <si>
    <t>○</t>
  </si>
  <si>
    <t xml:space="preserve"> </t>
  </si>
  <si>
    <t>조선대학교병원(운영)</t>
    <phoneticPr fontId="5" type="noConversion"/>
  </si>
  <si>
    <t>[요청파악] 
발령일자적용여부가 체크되어 있는 발령일 경우에만 발령 이력(PSTB2002)이 남게 됨
적용차이일수 입력 값에 따라서 발령일자에 일 단위로 보정값이 들어감
[요청파악] 
발령일자 26.02.28
김미숙(1991109) / 김진호(1995906)
TODD가 2026.02.27로 삽입
[분석설계] 
[인사발령확정] 메뉴 입력확정 시
발령코드의 적용일자차이일수가 적용되지 않은 채로 넘어가고 있어서 발생한 문제
[업무처리] 
[인사발령확정] 메뉴의 로직 수정
발령일자 → 발령일자 + 적용차이일수 값으로 적용한 적용일자 전송으로 변경
[결과안내] 긴급배포 및 담당자 안내 완료</t>
    <phoneticPr fontId="5" type="noConversion"/>
  </si>
  <si>
    <t>[요청파악] 실제로 출력해서 나온 바코드가 스캔을 하면 출력된 바코드 번호가 아닌 다른 정보가 입력되거나 스캔이 안되는 바코드가 존재한다고 합니다.
[분석설계] 요구자와 통화하여 여분의 라벨프린터기와 리더기 존재여부를 문의하였습니다.
확인후 연락주기로 하셨습니다.
[분석설계] 오류확인을 위한 소스분석
[요청파악] 요구자와 통화하여 장비필요기간 물어보셔서 최대 일주일 정도로 안내하였습니다.
[분석설계] 요구자와 통화하여 라벨프린터기,리더기,출력용지 택배로 보내주기로 하셨습니다.
[업무처리] 장비연결 및 테스트환경 구축 후 오류케이스 확인.
[업무처리] 취득바코드출력 소스 정리및 디자인 변경
[업무처리] 오류관련 소스변경 시도 및 테스트
[결과안내] 중간상황에 대하여 요구자에게 전달하였으며 계속진행여부를 확인 후 연락주시기로 하였습니다.
1. 메디인포의 자료를 처리하는 과정에서의 문제점은 발견하지 못함.
2. Bixolon 프린터의 dll을 참조하여 사용하는 구문에도 크게 문제점을 찾지 못했으나
   자체시스템이 아니다보니 100% 확신하기는 어려움.
3. 조선대병원 전산팀으로 부터 받은 납품업체 담당자와 통화하였으나 해상현상에 대한 답변은 못받음.
4. Bixolon 본사에서 기술지원을 받기 위해서는 금주내에 진행하기가 어렵다고 판단하여 기간이 늘어날것으로 보임. 또한, 용지 가격이 작지않아서 테스트가 부담스러운 상황.
[업무처리] BIXLON 본사에 담당자를 지정받아 관련 내용을 메일로 전송하였으며 회신을 기다리고 있습니다.
[분석설계] BIXOLON본사로 부터 답변을 받았습니다. A/S센터에 기계를 보내서 내장 모듈점검을 받아봐야 한다고 합니다.
[업무처리] 금일 BIXOLON A/S 센터로 프린터기 발송하였습니다.
[업무처리] 금일 BIXOLON A/S 센터로 부터 연락을 받았습니다.
1. 현재 조선대학교병원에서 사용중인 용지로는 테스트가 힘들다고 합니다.
2. 자체적으로 별도의 용지로 검증했을때는 문제가 없다고 합니다.
3. 장비모듈의 문제가 있는경우 무상기간이 지나서 교체하는경우 비용을 청구하도록 되어있으나
문제점을 찾지못하여 임의로 장비모듈을 교체하였다고 합니다.
4. 금일 장비 발송한다고 하였으며 받아서 테스트 후 계속 동일한 증상이 발생시 다시 본사로 부터 기술지원을 받아야 한다고 합니다.
[업무처리] 금일 A/S센터에서 발송한 택배가 도착했습니다.
추가 테스트를 위해 기계를 연결하여 테스트를 시도하는 과정에서 기계가 정상작동하지 않아서
A/S 기사님과 통화한 결과 용지 아래쪽 롤러가 배송과정에서 문제가 생긴것 같다고 다시 보내달라고하셔서 보내야 하는 상황입니다.
[요청파악] 요구자와 통화하여 A/S센터가 택배 재발송에 대하여 협의하였습니다.
[업무처리] 2026-02-11 A/S센터에서 발송한 택배가 도착했습니다.
추가 테스트를 위해 기기 연결 후 Feed를 돌려봤지만 정상동작하지 않아서 A/S 기사님과 통화한 결과 용지랑 기기 A/S센터로 재발송 할 상황입니다.
[업무처리] 담당자 안내완료
[업무처리] A/S센터에서 발송한 택배가 도착했습니다.
리본프레임 불량으로 무상 교체 했습니다. 세팅 후 출력 테스트 정상 작동합니다.
[업무처리] 담당자와 통화하면서 리더기 테스트 진행했습니다.
리더기에 UHFDemo프로그램 테스트 하면서 나오는 데이터가 다르게 나온다고 말씀하셔서 메일로 첨부파일전송했습니다.
[업무처리] 담당자가 해당 업체와 통화하여 불러오는 값이 설계당시랑 다르게 나온다고 하여 빅솔론 라벨출력 강제취한하는 로직이 있는지 확인요청 하였습니다.
[업무처리] 본사 기술지원팀에 연락하여 물어보니 RFID 용지 사이즈에 따라 달라질 수 있다고 하여 직접 확인 필요하여 본사로 보내달라고 하셔서 보내야 하는 상황입니다.
[업무처리] 담당자와 통화하여 본사 기술지원팀에 택배 발송에 대하여 협의하였습니다.
[요청파악] RFID카드가 UHFDemo프로그램에서 인식 될 때 키값이 3으로 시작하는데 출력할 때 3으로 강제로 취한하는지 확인 요청
[분석설계] 출력시 RFIDCODE만 넣어주고 있습니다.
[업무처리] 출력시 담당자분께 RFID칩에 넣는 데이터는 RFID코드만 넣어주고 있다고 안내했습니다.
[업무처리] RIFD코드 생성할 때 로직 물어보셔서
[취득바코드출력] 화면에서 신규RFID코드생성할 때 자산관리테이블(ASTB0020)에서 RFID 최대값으로 불러와 +1를 해주고 있다고 안내했습니다.
[요청파악] 빅솔론 본사에 택배를 보냈으나 특별한 이야기 없이 다시 재발송해서 보냈으며, 본사측에 통화를 하였으나 (본사)담당자가 휴가여서 원인파악을 못했습니다.
[업무처리] 빅솔론 본사에 확인결과 위치값, 파워값 설정 잘못되어 있어서 수정 후에 재발송 했다고 전달 받았고, 소프트넷에서 테스트 결과 정상 작동하는거 확인 후 담당자분께 안내 했습니다.</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</si>
</sst>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rgb="FF000000"/>
      <name val="Calibri"/>
    </font>
    <font>
      <sz val="9"/>
      <color rgb="FF000000"/>
      <name val="굴림체"/>
      <family val="3"/>
      <charset val="129"/>
    </font>
    <font>
      <sz val="9"/>
      <color rgb="FF373A3D"/>
      <name val="굴림체"/>
      <family val="3"/>
      <charset val="129"/>
    </font>
    <font>
      <sz val="9"/>
      <color rgb="FF373A3D"/>
      <name val="굴림체"/>
      <family val="3"/>
      <charset val="129"/>
    </font>
    <font>
      <sz val="9"/>
      <color rgb="FF373A3D"/>
      <name val="굴림체"/>
      <family val="3"/>
      <charset val="129"/>
    </font>
    <font>
      <sz val="8"/>
      <name val="돋움"/>
      <family val="3"/>
      <charset val="129"/>
    </font>
  </fonts>
  <fills count="7">
    <fill>
      <patternFill patternType="none"/>
    </fill>
    <fill>
      <patternFill patternType="gray125"/>
    </fill>
    <fill>
      <patternFill patternType="solid">
        <fgColor rgb="FFC0C0C0"/>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00"/>
        <bgColor indexed="64"/>
      </patternFill>
    </fill>
  </fills>
  <borders count="5">
    <border>
      <left/>
      <right/>
      <top/>
      <bottom/>
      <diagonal/>
    </border>
    <border>
      <left style="thin">
        <color rgb="FF808080"/>
      </left>
      <right style="thin">
        <color rgb="FF808080"/>
      </right>
      <top style="thin">
        <color rgb="FF808080"/>
      </top>
      <bottom style="thin">
        <color rgb="FF808080"/>
      </bottom>
      <diagonal/>
    </border>
    <border>
      <left style="thin">
        <color rgb="FFA9A9A9"/>
      </left>
      <right style="thin">
        <color rgb="FFA9A9A9"/>
      </right>
      <top style="thin">
        <color rgb="FFA9A9A9"/>
      </top>
      <bottom style="thin">
        <color rgb="FFA9A9A9"/>
      </bottom>
      <diagonal/>
    </border>
    <border>
      <left style="thin">
        <color rgb="FFA9A9A9"/>
      </left>
      <right style="thin">
        <color rgb="FFA9A9A9"/>
      </right>
      <top style="thin">
        <color rgb="FFA9A9A9"/>
      </top>
      <bottom style="thin">
        <color rgb="FFA9A9A9"/>
      </bottom>
      <diagonal/>
    </border>
    <border>
      <left style="thin">
        <color rgb="FFA9A9A9"/>
      </left>
      <right style="thin">
        <color rgb="FFA9A9A9"/>
      </right>
      <top style="thin">
        <color rgb="FFA9A9A9"/>
      </top>
      <bottom style="thin">
        <color rgb="FFA9A9A9"/>
      </bottom>
      <diagonal/>
    </border>
  </borders>
  <cellStyleXfs count="1">
    <xf numFmtId="0" fontId="0" fillId="0" borderId="0">
      <alignment vertical="center"/>
    </xf>
  </cellStyleXfs>
  <cellXfs count="10">
    <xf numFmtId="0" fontId="0" fillId="0" borderId="0" xfId="0">
      <alignment vertical="center"/>
    </xf>
    <xf numFmtId="49" fontId="1" fillId="2" borderId="1" xfId="0" applyNumberFormat="1" applyFont="1" applyFill="1" applyBorder="1" applyAlignment="1">
      <alignment horizontal="center" vertical="center" wrapText="1"/>
    </xf>
    <xf numFmtId="0" fontId="2" fillId="3" borderId="2" xfId="0" applyFont="1" applyFill="1" applyBorder="1" applyAlignment="1">
      <alignment horizontal="right" vertical="center" wrapText="1"/>
    </xf>
    <xf numFmtId="49" fontId="3" fillId="4" borderId="3" xfId="0" applyNumberFormat="1" applyFont="1" applyFill="1" applyBorder="1" applyAlignment="1">
      <alignment horizontal="left" vertical="center" wrapText="1"/>
    </xf>
    <xf numFmtId="49" fontId="4" fillId="5" borderId="4" xfId="0" applyNumberFormat="1" applyFont="1" applyFill="1" applyBorder="1" applyAlignment="1">
      <alignment horizontal="center" vertical="center" wrapText="1"/>
    </xf>
    <xf numFmtId="0" fontId="2" fillId="6" borderId="2" xfId="0" applyFont="1" applyFill="1" applyBorder="1" applyAlignment="1">
      <alignment horizontal="right" vertical="center" wrapText="1"/>
    </xf>
    <xf numFmtId="49" fontId="3" fillId="6" borderId="3" xfId="0" applyNumberFormat="1" applyFont="1" applyFill="1" applyBorder="1" applyAlignment="1">
      <alignment horizontal="left" vertical="center" wrapText="1"/>
    </xf>
    <xf numFmtId="49" fontId="4" fillId="6" borderId="4" xfId="0" applyNumberFormat="1" applyFont="1" applyFill="1" applyBorder="1" applyAlignment="1">
      <alignment horizontal="center" vertical="center" wrapText="1"/>
    </xf>
    <xf numFmtId="0" fontId="0" fillId="6" borderId="0" xfId="0" applyFill="1">
      <alignment vertical="center"/>
    </xf>
    <xf numFmtId="49" fontId="2" fillId="4" borderId="3" xfId="0" applyNumberFormat="1" applyFont="1" applyFill="1" applyBorder="1" applyAlignment="1">
      <alignment horizontal="lef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showGridLines="0" tabSelected="1" workbookViewId="0">
      <selection activeCell="I2" sqref="I2"/>
    </sheetView>
  </sheetViews>
  <sheetFormatPr defaultRowHeight="14.5" x14ac:dyDescent="0.35"/>
  <cols>
    <col min="1" max="1" width="5.7265625" customWidth="1"/>
    <col min="2" max="2" width="10" customWidth="1"/>
    <col min="3" max="3" width="10" hidden="1" customWidth="1"/>
    <col min="4" max="4" width="6.7265625" customWidth="1"/>
    <col min="5" max="6" width="17.1796875" customWidth="1"/>
    <col min="7" max="7" width="8.54296875" customWidth="1"/>
    <col min="8" max="9" width="28.54296875" customWidth="1"/>
    <col min="10" max="10" width="5.7265625" customWidth="1"/>
    <col min="11" max="11" width="14.26953125" customWidth="1"/>
    <col min="12" max="12" width="10" customWidth="1"/>
    <col min="13" max="13" width="5.7265625" customWidth="1"/>
  </cols>
  <sheetData>
    <row r="1" spans="1:13" ht="31.5" customHeight="1" x14ac:dyDescent="0.35">
      <c r="A1" s="1" t="s">
        <v>0</v>
      </c>
      <c r="B1" s="1" t="s">
        <v>1</v>
      </c>
      <c r="C1" s="1" t="s">
        <v>10</v>
      </c>
      <c r="D1" s="1" t="s">
        <v>11</v>
      </c>
      <c r="E1" s="1" t="s">
        <v>17</v>
      </c>
      <c r="F1" s="1" t="s">
        <v>19</v>
      </c>
      <c r="G1" s="1" t="s">
        <v>24</v>
      </c>
      <c r="H1" s="1" t="s">
        <v>29</v>
      </c>
      <c r="I1" s="1" t="s">
        <v>42</v>
      </c>
      <c r="J1" s="1" t="s">
        <v>53</v>
      </c>
      <c r="K1" s="1" t="s">
        <v>57</v>
      </c>
      <c r="L1" s="1" t="s">
        <v>70</v>
      </c>
      <c r="M1" s="1" t="s">
        <v>72</v>
      </c>
    </row>
    <row r="2" spans="1:13" ht="409.6" customHeight="1" x14ac:dyDescent="0.35">
      <c r="A2" s="2">
        <v>32</v>
      </c>
      <c r="B2" s="3" t="s">
        <v>2</v>
      </c>
      <c r="C2" s="3" t="s">
        <v>7</v>
      </c>
      <c r="D2" s="4" t="s">
        <v>12</v>
      </c>
      <c r="E2" s="3" t="s">
        <v>18</v>
      </c>
      <c r="F2" s="3" t="s">
        <v>20</v>
      </c>
      <c r="G2" s="3" t="s">
        <v>25</v>
      </c>
      <c r="H2" s="3" t="s">
        <v>30</v>
      </c>
      <c r="I2" s="9" t="s">
        <v>77</v>
      </c>
      <c r="J2" s="4" t="s">
        <v>54</v>
      </c>
      <c r="K2" s="3" t="s">
        <v>58</v>
      </c>
      <c r="L2" s="3" t="s">
        <v>7</v>
      </c>
      <c r="M2" s="4" t="s">
        <v>73</v>
      </c>
    </row>
    <row r="3" spans="1:13" ht="79.5" customHeight="1" x14ac:dyDescent="0.35">
      <c r="A3" s="2">
        <v>33</v>
      </c>
      <c r="B3" s="3" t="s">
        <v>3</v>
      </c>
      <c r="C3" s="3" t="s">
        <v>9</v>
      </c>
      <c r="D3" s="4" t="s">
        <v>13</v>
      </c>
      <c r="E3" s="3" t="s">
        <v>18</v>
      </c>
      <c r="F3" s="3" t="s">
        <v>20</v>
      </c>
      <c r="G3" s="3" t="s">
        <v>26</v>
      </c>
      <c r="H3" s="3" t="s">
        <v>31</v>
      </c>
      <c r="I3" s="3" t="s">
        <v>43</v>
      </c>
      <c r="J3" s="4" t="s">
        <v>54</v>
      </c>
      <c r="K3" s="3" t="s">
        <v>59</v>
      </c>
      <c r="L3" s="3" t="s">
        <v>71</v>
      </c>
      <c r="M3" s="4" t="s">
        <v>74</v>
      </c>
    </row>
    <row r="4" spans="1:13" ht="244.5" customHeight="1" x14ac:dyDescent="0.35">
      <c r="A4" s="2">
        <v>34</v>
      </c>
      <c r="B4" s="3" t="s">
        <v>4</v>
      </c>
      <c r="C4" s="3" t="s">
        <v>8</v>
      </c>
      <c r="D4" s="4" t="s">
        <v>14</v>
      </c>
      <c r="E4" s="3" t="s">
        <v>18</v>
      </c>
      <c r="F4" s="3" t="s">
        <v>20</v>
      </c>
      <c r="G4" s="3" t="s">
        <v>27</v>
      </c>
      <c r="H4" s="3" t="s">
        <v>32</v>
      </c>
      <c r="I4" s="3" t="s">
        <v>44</v>
      </c>
      <c r="J4" s="4" t="s">
        <v>54</v>
      </c>
      <c r="K4" s="3" t="s">
        <v>60</v>
      </c>
      <c r="L4" s="3" t="s">
        <v>8</v>
      </c>
      <c r="M4" s="4" t="s">
        <v>74</v>
      </c>
    </row>
    <row r="5" spans="1:13" s="8" customFormat="1" ht="244.5" customHeight="1" x14ac:dyDescent="0.35">
      <c r="A5" s="5">
        <v>35</v>
      </c>
      <c r="B5" s="6" t="s">
        <v>5</v>
      </c>
      <c r="C5" s="6" t="s">
        <v>7</v>
      </c>
      <c r="D5" s="7" t="s">
        <v>15</v>
      </c>
      <c r="E5" s="6" t="s">
        <v>18</v>
      </c>
      <c r="F5" s="6" t="s">
        <v>20</v>
      </c>
      <c r="G5" s="6" t="s">
        <v>25</v>
      </c>
      <c r="H5" s="6" t="s">
        <v>33</v>
      </c>
      <c r="I5" s="6" t="s">
        <v>45</v>
      </c>
      <c r="J5" s="7" t="s">
        <v>55</v>
      </c>
      <c r="K5" s="6" t="s">
        <v>61</v>
      </c>
      <c r="L5" s="6" t="s">
        <v>71</v>
      </c>
      <c r="M5" s="7" t="s">
        <v>74</v>
      </c>
    </row>
    <row r="6" spans="1:13" ht="58.5" customHeight="1" x14ac:dyDescent="0.35">
      <c r="A6" s="2">
        <v>36</v>
      </c>
      <c r="B6" s="3" t="s">
        <v>5</v>
      </c>
      <c r="C6" s="3" t="s">
        <v>8</v>
      </c>
      <c r="D6" s="4" t="s">
        <v>13</v>
      </c>
      <c r="E6" s="3" t="s">
        <v>18</v>
      </c>
      <c r="F6" s="3" t="s">
        <v>20</v>
      </c>
      <c r="G6" s="3" t="s">
        <v>25</v>
      </c>
      <c r="H6" s="3" t="s">
        <v>34</v>
      </c>
      <c r="I6" s="3" t="s">
        <v>46</v>
      </c>
      <c r="J6" s="4" t="s">
        <v>54</v>
      </c>
      <c r="K6" s="3" t="s">
        <v>62</v>
      </c>
      <c r="L6" s="3" t="s">
        <v>8</v>
      </c>
      <c r="M6" s="4" t="s">
        <v>74</v>
      </c>
    </row>
    <row r="7" spans="1:13" ht="373.5" customHeight="1" x14ac:dyDescent="0.35">
      <c r="A7" s="2">
        <v>37</v>
      </c>
      <c r="B7" s="3" t="s">
        <v>6</v>
      </c>
      <c r="C7" s="3" t="s">
        <v>9</v>
      </c>
      <c r="D7" s="4" t="s">
        <v>16</v>
      </c>
      <c r="E7" s="9" t="s">
        <v>75</v>
      </c>
      <c r="F7" s="3" t="s">
        <v>20</v>
      </c>
      <c r="G7" s="3" t="s">
        <v>27</v>
      </c>
      <c r="H7" s="3" t="s">
        <v>35</v>
      </c>
      <c r="I7" s="9" t="s">
        <v>76</v>
      </c>
      <c r="J7" s="4" t="s">
        <v>54</v>
      </c>
      <c r="K7" s="3" t="s">
        <v>63</v>
      </c>
      <c r="L7" s="3" t="s">
        <v>9</v>
      </c>
      <c r="M7" s="4" t="s">
        <v>73</v>
      </c>
    </row>
    <row r="8" spans="1:13" ht="100.5" customHeight="1" x14ac:dyDescent="0.35">
      <c r="A8" s="2">
        <v>38</v>
      </c>
      <c r="B8" s="3" t="s">
        <v>6</v>
      </c>
      <c r="C8" s="3" t="s">
        <v>8</v>
      </c>
      <c r="D8" s="4" t="s">
        <v>13</v>
      </c>
      <c r="E8" s="3" t="s">
        <v>18</v>
      </c>
      <c r="F8" s="3" t="s">
        <v>21</v>
      </c>
      <c r="G8" s="3" t="s">
        <v>28</v>
      </c>
      <c r="H8" s="3" t="s">
        <v>36</v>
      </c>
      <c r="I8" s="3" t="s">
        <v>47</v>
      </c>
      <c r="J8" s="4" t="s">
        <v>54</v>
      </c>
      <c r="K8" s="3" t="s">
        <v>64</v>
      </c>
      <c r="L8" s="3" t="s">
        <v>8</v>
      </c>
      <c r="M8" s="4" t="s">
        <v>74</v>
      </c>
    </row>
    <row r="9" spans="1:13" ht="90" customHeight="1" x14ac:dyDescent="0.35">
      <c r="A9" s="2">
        <v>39</v>
      </c>
      <c r="B9" s="3" t="s">
        <v>6</v>
      </c>
      <c r="C9" s="3" t="s">
        <v>8</v>
      </c>
      <c r="D9" s="4" t="s">
        <v>12</v>
      </c>
      <c r="E9" s="3" t="s">
        <v>18</v>
      </c>
      <c r="F9" s="3" t="s">
        <v>20</v>
      </c>
      <c r="G9" s="3" t="s">
        <v>27</v>
      </c>
      <c r="H9" s="3" t="s">
        <v>37</v>
      </c>
      <c r="I9" s="3" t="s">
        <v>48</v>
      </c>
      <c r="J9" s="4" t="s">
        <v>54</v>
      </c>
      <c r="K9" s="3" t="s">
        <v>65</v>
      </c>
      <c r="L9" s="3" t="s">
        <v>71</v>
      </c>
      <c r="M9" s="4" t="s">
        <v>74</v>
      </c>
    </row>
    <row r="10" spans="1:13" ht="234" customHeight="1" x14ac:dyDescent="0.35">
      <c r="A10" s="2">
        <v>40</v>
      </c>
      <c r="B10" s="3" t="s">
        <v>7</v>
      </c>
      <c r="C10" s="3" t="s">
        <v>9</v>
      </c>
      <c r="D10" s="4" t="s">
        <v>14</v>
      </c>
      <c r="E10" s="3" t="s">
        <v>18</v>
      </c>
      <c r="F10" s="3" t="s">
        <v>20</v>
      </c>
      <c r="G10" s="3" t="s">
        <v>27</v>
      </c>
      <c r="H10" s="3" t="s">
        <v>38</v>
      </c>
      <c r="I10" s="3" t="s">
        <v>49</v>
      </c>
      <c r="J10" s="4" t="s">
        <v>54</v>
      </c>
      <c r="K10" s="3" t="s">
        <v>66</v>
      </c>
      <c r="L10" s="3" t="s">
        <v>71</v>
      </c>
      <c r="M10" s="4" t="s">
        <v>74</v>
      </c>
    </row>
    <row r="11" spans="1:13" s="8" customFormat="1" ht="151.5" customHeight="1" x14ac:dyDescent="0.35">
      <c r="A11" s="5">
        <v>41</v>
      </c>
      <c r="B11" s="6" t="s">
        <v>7</v>
      </c>
      <c r="C11" s="6" t="s">
        <v>9</v>
      </c>
      <c r="D11" s="7" t="s">
        <v>14</v>
      </c>
      <c r="E11" s="6" t="s">
        <v>18</v>
      </c>
      <c r="F11" s="6" t="s">
        <v>22</v>
      </c>
      <c r="G11" s="6" t="s">
        <v>25</v>
      </c>
      <c r="H11" s="6" t="s">
        <v>39</v>
      </c>
      <c r="I11" s="6" t="s">
        <v>50</v>
      </c>
      <c r="J11" s="7" t="s">
        <v>56</v>
      </c>
      <c r="K11" s="6" t="s">
        <v>67</v>
      </c>
      <c r="L11" s="6" t="s">
        <v>71</v>
      </c>
      <c r="M11" s="7" t="s">
        <v>74</v>
      </c>
    </row>
    <row r="12" spans="1:13" s="8" customFormat="1" ht="48" customHeight="1" x14ac:dyDescent="0.35">
      <c r="A12" s="5">
        <v>42</v>
      </c>
      <c r="B12" s="6" t="s">
        <v>8</v>
      </c>
      <c r="C12" s="6" t="s">
        <v>9</v>
      </c>
      <c r="D12" s="7" t="s">
        <v>12</v>
      </c>
      <c r="E12" s="6" t="s">
        <v>18</v>
      </c>
      <c r="F12" s="6" t="s">
        <v>20</v>
      </c>
      <c r="G12" s="6" t="s">
        <v>27</v>
      </c>
      <c r="H12" s="6" t="s">
        <v>40</v>
      </c>
      <c r="I12" s="6" t="s">
        <v>51</v>
      </c>
      <c r="J12" s="7" t="s">
        <v>55</v>
      </c>
      <c r="K12" s="6" t="s">
        <v>68</v>
      </c>
      <c r="L12" s="6" t="s">
        <v>71</v>
      </c>
      <c r="M12" s="7" t="s">
        <v>74</v>
      </c>
    </row>
    <row r="13" spans="1:13" ht="151.5" customHeight="1" x14ac:dyDescent="0.35">
      <c r="A13" s="2">
        <v>43</v>
      </c>
      <c r="B13" s="3" t="s">
        <v>9</v>
      </c>
      <c r="C13" s="3" t="s">
        <v>9</v>
      </c>
      <c r="D13" s="4" t="s">
        <v>14</v>
      </c>
      <c r="E13" s="3" t="s">
        <v>18</v>
      </c>
      <c r="F13" s="3" t="s">
        <v>23</v>
      </c>
      <c r="G13" s="3" t="s">
        <v>26</v>
      </c>
      <c r="H13" s="3" t="s">
        <v>41</v>
      </c>
      <c r="I13" s="3" t="s">
        <v>52</v>
      </c>
      <c r="J13" s="4" t="s">
        <v>54</v>
      </c>
      <c r="K13" s="3" t="s">
        <v>69</v>
      </c>
      <c r="L13" s="3" t="s">
        <v>71</v>
      </c>
      <c r="M13" s="4" t="s">
        <v>74</v>
      </c>
    </row>
    <row r="14" spans="1:13" x14ac:dyDescent="0.35">
      <c r="J14">
        <f>COUNTIF(J2:J13,"완료")</f>
        <v>9</v>
      </c>
    </row>
  </sheetData>
  <autoFilter ref="A1:M1">
    <sortState ref="A2:M14">
      <sortCondition ref="B1"/>
    </sortState>
  </autoFilter>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softnet</dc:creator>
  <cp:lastModifiedBy>chanjoong kim</cp:lastModifiedBy>
  <dcterms:created xsi:type="dcterms:W3CDTF">2026-03-08T23:13:19Z</dcterms:created>
  <dcterms:modified xsi:type="dcterms:W3CDTF">2026-03-09T00:55:34Z</dcterms:modified>
</cp:coreProperties>
</file>