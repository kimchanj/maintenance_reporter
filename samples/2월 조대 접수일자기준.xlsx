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oftnet\Desktop\"/>
    </mc:Choice>
  </mc:AlternateContent>
  <bookViews>
    <workbookView xWindow="0" yWindow="0" windowWidth="17370" windowHeight="13365"/>
  </bookViews>
  <sheets>
    <sheet name="Sheet" sheetId="1" r:id="rId1"/>
  </sheets>
  <calcPr calcId="162913"/>
</workbook>
</file>

<file path=xl/calcChain.xml><?xml version="1.0" encoding="utf-8"?>
<calcChain xmlns="http://schemas.openxmlformats.org/spreadsheetml/2006/main">
  <c r="J57" i="1" l="1"/>
</calcChain>
</file>

<file path=xl/sharedStrings.xml><?xml version="1.0" encoding="utf-8"?>
<sst xmlns="http://schemas.openxmlformats.org/spreadsheetml/2006/main" count="673" uniqueCount="219">
  <si>
    <t>순번</t>
  </si>
  <si>
    <t>요구일자</t>
  </si>
  <si>
    <t>2026-01-08</t>
  </si>
  <si>
    <t>2026-01-29</t>
  </si>
  <si>
    <t>2026-01-30</t>
  </si>
  <si>
    <t>2026-02-02</t>
  </si>
  <si>
    <t>2026-02-04</t>
  </si>
  <si>
    <t>2026-02-05</t>
  </si>
  <si>
    <t>2026-02-06</t>
  </si>
  <si>
    <t>2026-02-09</t>
  </si>
  <si>
    <t>2026-02-10</t>
  </si>
  <si>
    <t>2026-02-11</t>
  </si>
  <si>
    <t>2026-02-12</t>
  </si>
  <si>
    <t>2026-02-19</t>
  </si>
  <si>
    <t>2026-02-20</t>
  </si>
  <si>
    <t>2026-02-23</t>
  </si>
  <si>
    <t>2026-02-25</t>
  </si>
  <si>
    <t>처리일자</t>
  </si>
  <si>
    <t>2026-02-26</t>
  </si>
  <si>
    <t>2026-02-24</t>
  </si>
  <si>
    <t>처리자</t>
  </si>
  <si>
    <t>한길종</t>
  </si>
  <si>
    <t>박도현</t>
  </si>
  <si>
    <t>유찬빈</t>
  </si>
  <si>
    <t>김민영</t>
  </si>
  <si>
    <t>전도환</t>
  </si>
  <si>
    <t>회사</t>
  </si>
  <si>
    <t>조선대학교병원(운영)</t>
  </si>
  <si>
    <t>요구자(부서/성명)</t>
  </si>
  <si>
    <t>전산팀/고도영</t>
  </si>
  <si>
    <t>전산팀/박다희</t>
  </si>
  <si>
    <t>자산관리팀/김재혁</t>
  </si>
  <si>
    <t>재무팀 / 곽정</t>
  </si>
  <si>
    <t>전산팀／고도영</t>
  </si>
  <si>
    <t>총무팀/나희연</t>
  </si>
  <si>
    <t>재무팀/최은별</t>
  </si>
  <si>
    <t>의공팀 / 정남헌</t>
  </si>
  <si>
    <t>담당파트</t>
  </si>
  <si>
    <t>인사</t>
  </si>
  <si>
    <t>급여</t>
  </si>
  <si>
    <t>물류</t>
  </si>
  <si>
    <t>회계</t>
  </si>
  <si>
    <t>요구사항</t>
  </si>
  <si>
    <t>** 프로그램 개발 가능 여부 문의 **
1. 전문의에 한해서 진료권한지원서, 진료권한신청서를 작성하는 메뉴 추가 문의
- 진료권한지원서와 진료권한신청서(각 과별로 상이) 양식처럼 입력 (양식의 내용만 담으면 양식이 달려져도 무관함.)
- 각 과의 과장님께 결재 받기
2. 위에서 작성한 내용들을 직무기술서처럼 관리하고싶음.
3. 진료권한지원서의 경우, 전년도에 작성한 내용을 불러와서 해당년도에 재작성 가능한지 문의.</t>
  </si>
  <si>
    <t>세액공제율 사용자가 직접 선택 할 수 있는 기능 추가요청
개인메뉴-급여명세서 창에서 
1. 본인의 세액공제율을 조회
2. 2월에 한하여, 사용자가 세액공제율(120%, 100%, 80%)선택할 수 있도록 기능 추가하여, 선택한 세액공제율이 급여개인자료관리의 세액공제율에 자동반영될 수 있도록 요청</t>
  </si>
  <si>
    <t>** 프로그램 수정 요청 **
자산입력일괄생성
: 자산 생성 시, 사용부서로 가져오는 값이 현재 사용위치를 가지고 MAPPING하고 있는데 보유부서 MNGTDEPTCD로 MAPPING되도록 요청</t>
  </si>
  <si>
    <t>기타정산자료관리
: 본인부담금을 작성하고 엔터 치면 메모로 넘어가는 이벤트 발생 요청 ( 지방소득세 입력 후 엔터 치면 본인부담금 입력창으로 넘어가는것처럼 요청)</t>
  </si>
  <si>
    <t>** 오류건으로 빠른 해결 부탁드립니다 **
현업전표입력 AC20260130-0004 전자결재 시, '연동에 필요한 데이터가 들어오지 않았습니다. 문서종류 : SANC_NORMAL(0x0000)  연동시점 : SANC_GIANINITIALIZE(0x1000)  연동액션: Load' 오류 발생</t>
  </si>
  <si>
    <t>** 오류 건으로 빠른 처리 부탁드립니다. **
병동간호2팀/75병동 2026.01 근무표
: 근무집계에 30일과 31일이 뒤바껴서 조회됨
-&gt; 관리자아이디(0264400)으로 들어갔을대는 정상적이지만 실무자(1987180) 아이디로 들어갔을때는 해당 현상이 발생됨.</t>
  </si>
  <si>
    <t>AS02644A-001438 관련으로 실무부서에서 직접 연락하고 싶다고 하셔서 위 번호로 연락주시기 바랍니다.</t>
  </si>
  <si>
    <t>○ 현업업무관리-급여외수당
 ▶ (급여외수당)예외대상관리, (급여외수당)부서계좌관리 : 지급수당 검색시 수당명으로 검색 가능하도록 수정해 주세요.
 - 현재는 코드순으로 나오고 수당명으로 조회 불가</t>
  </si>
  <si>
    <t>* 개발자등록
기타정산자료관리 병원감면자료 생성쿼리 변경에 따른 작업.</t>
  </si>
  <si>
    <t>의연말정산 기부금 조정관리 문의</t>
  </si>
  <si>
    <t>홈택스에서 근로소득지급명세서 내용검정 오류내역 중 현근무처 소득합계금액 불일치하므로 확인해 주세요. 
-이밖에도 확인할 내용이 많으니, 최대한 빨리 부탁 드립니다.</t>
  </si>
  <si>
    <t>** 긴급한 건으로 빠른 처리 부탁드립니다 **
[연말정산 국세청 내용검증오류2 내역 첨부]
메일로 내용검증오류 사진 첨부하였으니 확인 부탁드랍니다.</t>
  </si>
  <si>
    <t>연말정산 자료 요청 
연말정산 자료에서 전근무지가 2개 이상인 사원분들 명단 요청</t>
  </si>
  <si>
    <t>** 인사정보 생성 오류 파악 및 해결 요청 **
배윤채 0012443
SNT.ZSUMUSRB/SNT.ZSUMUSRD 테이블에 정보가 존재하지 않음
-&gt; 인사발령확정에서 취소대상의 연동자료 생성 시, 'ORA-01400: NULL을 (SNT.ZSUMUSRD DUTPLCECD') 안에 삽입할 수 없습니다. 라는 오류가 발생함.</t>
  </si>
  <si>
    <t>** 연말정산 작업 중 발생한 오류로 빠른 처리 부탁드립니다. **
원천징수부관리표 : 2025년 정선아(2008122) 11월 급여 존재함.
연말정산 현근무처 : 11월에 급여 0원으로 표기됨.</t>
  </si>
  <si>
    <t>연말정산　인정상여　로직　확인　요청</t>
  </si>
  <si>
    <t>정규직전환자(고용1종)의 통상임금이 제대로 따라오지 않는 분들이 있습니다. 확인 부탁드립니다.</t>
  </si>
  <si>
    <t>** 오류 파악 요청드립니다 **
기타정산자료조회 : 2025.08년월에 0012415 박정하 급식비 -로 입력된 값 존재
원천징수부관리표 : 2025.08에 급식비 -값이 표기되어있지않음</t>
  </si>
  <si>
    <t>연말정산
소득자료제출내역 : 엑셀을 다운로드할때, 근무지가 여러개인 경우 종(전전전)이 안들어가는 이유 파악 요청
또한, 신고할대도 어떤식으로 적용되는지 문의</t>
  </si>
  <si>
    <t>AS02644A-001659 관련하여 추가자료 요청드립니다.
전근무지 갯수도 추가하여 추출해주시기 바랍니다.</t>
  </si>
  <si>
    <t>퇴직자들은 퇴직한 다음달까지 수당 입력이 가능하다고 알고있는데
 황병욱(2018403) 2024.12 퇴사 -&gt; (급여외수당)지급내역제출 2025.02 / 026.임상교육실습비 / 1차지급에서 입력된 이유 문의</t>
  </si>
  <si>
    <t>003으로 시작하는 사번 재직증명서 발급 불가하게 요청</t>
  </si>
  <si>
    <t>근무표근태신청점검현황
근무연월 2026-01
점검필요자료조회 체크 후 조회하면, 
ex)1993005
감정휴가 등록한적이 없는데 근태신청사용량에 1 조회됨</t>
  </si>
  <si>
    <t>도급직(003으로 시작하는 사번), 007로 시작하는 사번 : 기타정산자료관리 입력 불가하게 요청</t>
  </si>
  <si>
    <t>김동준(2015075) 해외연수 중인데 복직일자를 앞당김(02.16 -&gt; 02.06)
: 이전 복직 발령을 취소하고 새로운 복직 발령을 낸 후, 인사발령확정에서 입력확정처리를 진행할 시, 'ORA-00001:무결성 제약조건(SNT.ZSUMUSRD_PK)에 위배됩니다.' 라는 오류가 발생함.
-&gt; 오류가 발생하지만 취소대상으로는 넘어감.
: 현재는 근태신청입력(전문의)에서는 02.16일까지 해외연수 신청내역이 존재함.</t>
  </si>
  <si>
    <t>■ 기타정산자료관리 및 원천징수이행상황신고파일생성 상 001 급식비(비과세)
- 기타정산자료관리의 001 급식비(비과세)로 넣은 금액이 원천징수이행상황신고파일생성 내역 위 근로 부분에도 금액이 들어가고 아래 비과세 부분에도 금액이 들어가게끔 연결이 되어야 할 것 같은데, 안 되어있는 것 같습니다.
- 첨부파일 1p를 보면 원천징수부관리표의 급식비 금액 -90,300원이 2p처럼 신고파일생성 근로부분에 -90,300원, 비과세 부분에 +90,300원으로 되어야 할 것 같습니다.
* 별정수당 코드 참고</t>
  </si>
  <si>
    <t>개인메뉴-연말정산입력 : 근로소득원천징수영수증 비활성화 요청</t>
  </si>
  <si>
    <t>연말정산자료관리 : 전근무처에서 입력한 종전근무지의 내역들이 잘 뿌려져있음
소득자료제출냉역 : 종전근무지의 납부세액의 합산은 다르게 표기되어있음
종전근무지에 입력한 값들이 어느 항목들로 연결되는지 문의
소득자료제출내역에서 추가한 종전3가 제출파일생성할때도 잘 따라오는지 문의</t>
  </si>
  <si>
    <t>김부영 2016135 : 10년 근속자(2016.09.01~)인데, 근속휴가 3일 사용시 '연최대일수를 초과하였습니다' 라는 오류 발생함.
근태구분관리에서 확인해본 결과, 근속휴가 연최대일수는 5일로 확인됨.</t>
  </si>
  <si>
    <t>도급직(003으로 시작하는 사번), 007로 시작하는 사번 : (급여외수당)지급내역입력 입력 불가하게 요청</t>
  </si>
  <si>
    <t>AS02644A-001185 
작년과 같이 삭제처리하려함. 
snt.PTTB2201의 2026-02월치 F_ITEM_CODE in ('910','911')
는 삭제처리함.
snt.PTTB2200의 총공제액 /실지급액 변경처리요청</t>
  </si>
  <si>
    <t>자산입력에서 시설관리팀반납실로 조회되는 자산 중에서 폐기처분의뢰입력에서 폐기의뢰품목으로 조회되지 않는 자산 존재함.
예시 자산 : G1009010575</t>
  </si>
  <si>
    <t>** 오류 건으로 빠른 처리 부탁드립니다 **
재직증명서 발생 시, 오류 발생
: 2003059 이준영 재직증명서 영문 출력 시, '호출 대상이 예외를 Throw 했습니다.' 라는 오류 발생함.
-&gt; PF20260210-1003으로 테스트함.</t>
  </si>
  <si>
    <t>연말정산-소득자료제출내역
: 현재 소득(수입)금액의 비과세와 기타비과세가 종전근무지+현근무지의 합계로 표기되어있음
: 종전근무지의 비과세 합 / 현근무지 비과세 합 / 종전근무지 기타비과세 합 / 현근무지 기타비과세 합으로 구분지어서 조회되게끔 변경 요청
-&gt; 프로그램 변경 전,  종전근무지의 비과세 합 / 현근무지 비과세 합 / 종전근무지 기타비과세 합 / 현근무지 기타비과세 합 자료 요청</t>
  </si>
  <si>
    <t>연말정산
- 월세 임대인 주민번호 ****** 입력 금지 요청
- 연금소득공제 세액공제율 자료 정리 시, 정산 반영 요청(전근무지 추가)</t>
  </si>
  <si>
    <t>폐기의뢰입력-폐기의뢰품목
: 자산 G1004110419, G0205000057, G3001000078, G1010040049  조회 불가</t>
  </si>
  <si>
    <t>직무평가자현황 
: 기준년도 2025년 / 평가자 조원진 으로 조회 시,
2025년 직무기술서를 작성한 사람만 뜨는지? 2025년도에 꼭 작성해야지 뜨는 것인지? 문의 ( 2024년에 직무기술서를 작성하고 2025년에 직무가 변동이 없는 사람의 경우는 어떻게 조회되는지?)
: 또한, 해당 화면 조회 조건 문의</t>
  </si>
  <si>
    <t>자산입력
- 일반 탭 : 자산부서 -&gt; 주관부서, 사용부서 -&gt; 보유부서, 설치위치 -&gt; 설치장소로 변경 요청
- 부서정보 탭 : 자산부서 -&gt; 주관부서, 사용부서 -&gt; 보유부서, 설치위치 -&gt; 설치장소로 변경 요청
** AS02644A-001648 관련하여 사용부서로 가져오는 값을 보유부서 값으로 변경하였는데 이것도 이 화면에서 적용이 되는지 확인바랍니다.</t>
  </si>
  <si>
    <t>자산현황
- 자산부서 -&gt; 주관부서, 사용부서 -&gt; 보유부서, 설치위치 -&gt; 설치장소로 변경 요청
** AS02644A-001648 관련하여 사용부서로 가져오는 값을 보유부서 값으로 변경하였는데 이것도 이 화면에서 적용이 되는지 확인바랍니다.</t>
  </si>
  <si>
    <t>요구사항 AS02644A-001648에서 수정한 표기명 다시 원상복구 요청드립니다.
자산입력(일괄생성) 화면 컬럼과 더블클릭 시 뜨는 팝업 창 : 주관부서 -&gt; 자산부서, 보유부서 -&gt; 사용부서, 설치장소 -&gt; 설치위치로 변경 요청</t>
  </si>
  <si>
    <t>자산업무관리-자산관리-보유현황관리
: 조회 시, 'ORA-01841 : 년은 영이 아닌 -4713과 +4713 사이의 값으로 지정해야 합니다.' 라는 오류 창 발생</t>
  </si>
  <si>
    <t>** 오류 건으로 오전 중으로 빠른 처리 부탁드립니다. **
현업전표입력
: 입금전표 저장 시, ORA-00933: SQL 명령어가 올바르게 종료되지 않았습니다.</t>
  </si>
  <si>
    <t>급여대장
: 2026.02 정기급여에서 아래 사원들의 연말정산소득세 / 연말정산지방소득세 0원 처리 요청
: 정종훈 0012422, 안우준 2024124, 이원희 2025080, 전예진 2025083, 이상원 2025129, 백원용 2025186, 임은지 2025194, 김홍기 2025199, 윤채훈 2025200
: 그리고 이후에 급여를 다시 돌렸을대 해당 사원들의 연말정산소득세 / 연말정산지방소득세 다시 살아나는지 문의</t>
  </si>
  <si>
    <t>특수간호팀 응급실 2026.03 근무표
: '근무코드 N가 현재월의 근무표에 사용할 수 없는 코드입니다.' 라는 오류 생성됨.
해당 오류 화면 메일로 전송함.</t>
  </si>
  <si>
    <t>** 급여 마감 작업 중이라 오늘 오전 중으로 처리 부탁드립니다 **
급여대장
: 2026.02 정기급여에서 아래 사원들의 연말정산소득세 / 연말정산지방소득세 0원 처리 요청
: 장용진 2025079, 김민정 2025122, 이노아 2025135, 윤상훈 2025183</t>
  </si>
  <si>
    <t>** 급여 마감 작업 중으로 오전 중으로 처리 부탁드립니다 **
중도퇴사자 급여가 제대로 따라오지 않는 현상 발생
- 정민(2025248) 2/1일자로 퇴사하였슨데 2/1 급여가 따라오지않음
- 정경윤(2025215) 2/9 일자로 퇴사하였는데 2/1~2/9 급여가 따라오지않음</t>
  </si>
  <si>
    <t>G1004110799 자산이 2번 반납된 현상 발생됨
-&gt; 이동의뢰현황에서 반납할 때, 이미 반납된 자산이라고 팝업창이 뜨게끔 요청 (반납을 제외한 이동의뢰는 모두 가능하게끔)</t>
  </si>
  <si>
    <t>61병동 근무표
: 하단 근무집계에서 일자가 31일-30일 순으로 조회됨 -&gt; 30일-31일 순으로 변경 요청
-&gt; 다른 병동 근무표들도 모두 동일한 현상 발생</t>
  </si>
  <si>
    <t>자산코드 : E39170004, E39170006
- 예방점검설정 화면에서 예방점검일자가 지로 설정되어있는 부분을 해당하는 일자로 변경 처리함. (ASTB3100)
- F_EMPL_CODE01, F_EMPL_DATE01, F_EMPL_CODE02, F_EMPL_DATE02, F_PFLG, F_PDATE, F_PUSER
-&gt; 위 컬럼들이 NULL로 지정되어있었는데, 해당 컬럼들 값을 채워야하는지 문의.</t>
  </si>
  <si>
    <t>[자산장부] - [자산정보]
에서 출력버튼 눌러도 실제 출력 안됨.
- 자산정보 외에 다른 창에서는 출력 가능함
- Quick print 버튼 누르면 출력 안됨
- 현재 사용하는 프린트는 기본설정으로 되어있음</t>
  </si>
  <si>
    <t>[자산현황] 에서 
점겅코드(오타) -&gt; 점검코드로 오타수정 부탁드립니다.</t>
  </si>
  <si>
    <t>** 급여 작업 중으로 오후 3시 전까지 처리 부탁드립니다 **
연말정산-정산자료관리 :  중도정산 2026.01 조회되는 사원 7명
원청징수부관리표에서 합계 금액 - 비과세 금액으로 연말정산-정산자료관리 총 급여로 따라오지 않음 ( 1월분만 따라오는 것 같음)</t>
  </si>
  <si>
    <t>보직면직 발령일때 SNT.ZSUMUSRB / ZSUMUSRD 테이블 TODD가 발령일자 이전으로 UPDATE 되는 것이 맞는지 문의
예시 사번 : 이석기 2001106</t>
  </si>
  <si>
    <t>** 오류건으로 빠른 처리 및 확인 부탁드립니다 **
자산입력(일괄생성) 화면 클릭 시, 'ORA-01427 : 단일 행 하위 질의에 2개 이상의 행이 리턴되었습니다.' 라는 오류 발생</t>
  </si>
  <si>
    <t>긴급)요구번호 1455에서 처리해주신 것과 관련하여 문의드립니다.
전체전달사항 내용의 글씨 크기가 커서 급여명세서에서 글씨가 잘라져서 보입니다. 글씨 크기를 줄여주세요.</t>
  </si>
  <si>
    <t>처리내용</t>
  </si>
  <si>
    <t>[요청파악] 요구자와 통화하여 관려내용에 대하여 논의하였습니다.
1. 진료권한지원서
 - 작성은 1년에 한번씩 단, 1년의 텀이 일괄적인지 사원마다 다른지는 확인 필요.
 - 양식은 과별로 다르지 않음.
2. 진료권한신청서
 - 작성은 1년에 한번씩 단, 1년의 텀이 일괄적인지 사원마다 다른지는 확인 필요.
 - 과별 항목 및 양식지 관리 부서 : 진료행정팀
 - 승인자 기준 : 인사정보를 기준 또는 별도의 승인자 등록을 통해 진행해야 하는지.
 - 과별항목의 매칭기준 : 진료과 공통, 분과 공통 등 작성자의 어떤정보를 기준으로 매칭할지에 대한 정보가 필요.
 - 신청/승인 작성기준 : 행마다 작성인지 그룹마다 작성인지 기준이 필요.
위의 사항들을 논의하였으며 정확한 답변은 요구자가 확인 후 연락주기로 하였습니다.
[분석설계] 관련문서 분석 및 구조 설계 작업
[업무처리] 진료권한지원서입력 신규화면추가작업
[요청파악] 진료권한신청서는 추가적인 정리가 필요하다고 하셔서 정리 후에 다시 요구사항 올려주기로 하셨습니다.
[업무처리] 실서버 적용작업
[결과안내] 요구자와 통화하여 신규화면 추가에 따른 화면경로와 사용법 안내하였습니다.</t>
  </si>
  <si>
    <t>[분석설계] 현재 급여개인자료에서 세액공제율을 수정할때 담당실무자 한명이 신청을 받으면서 기존세액공제율을 비교해서 직접 입력하고 있음
개인이 직접 120/100/80을 일정 기간내(2월) 신청하면 1년동안 적용되는 기능이 필요 해당 신청기간이 지나면 기능OFF
[업무처리] 신규화면(신청화면,확정화면) 추가작업
[결과안내] 전산팀 고도영 선생님과 통화하여 신규화면 접근 경로와 사용법을 안내하였습니다.</t>
  </si>
  <si>
    <t>[분석설계] [자산입력(일광생성)]에서 불러올 때 AND ASTB0040.F_PST_CODE = T00.INSTALLPLCECD AS F_USE_DEPT_CODE 해서 사용부서를 가져오고 있습니다. 조회조건을 MAPPING(보유부서) 조건으로 가져오고 싶다고 하십니다.
[업무처리] [자산입력일괄생성] 분석 후 개발진행
[업무처리] INSTALLPLCECD -&amp;gt; MNGTDEPTCD 변경
[업무처리] [자산입력_일괄생성] 컬럼 변경 요청
[결과안내] 담당자 안내완료</t>
  </si>
  <si>
    <t>[업무처리] 해당사항 수정 및 테스트 진행.
[업무처리] 배포완료
[결과안내] 담당자 안내 완료</t>
  </si>
  <si>
    <t>[분석설계] 전자결재 전송 로직 분석
[업무처리] 전자결재 필수 파라미터 값 특수문자 변환 오류로 생긴 문제로 HTML인코딩 처리
[결과안내] 담당자 안내 및 배포 완료</t>
  </si>
  <si>
    <t>[분석설계] 전월의 주시작일자들를 삽입하는 과정에서 표시순번이 꼬이는 현상을 발견했습니다.
[업무처리] [업무처리] 근무입력(일정) 월에 따른 일표시변경시 순서가 꼬이지 않도록 전월의 주시작일자들을
먼저 삽입후 당월일자들을 표시하도록 수정하였습니다.
[결과안내] 요구자와 통화하여 분석 및 처리내용 안내하였습니다.</t>
  </si>
  <si>
    <t>[결과안내] AS02644A-001438건 관련해서 자산등재 관련해서 논의 중에 있다고 하셔서 결정이 나면 다시 올려주신다고 하십니다.</t>
  </si>
  <si>
    <t>[요청파악] [급여외수당)부서게좌관리],[(급여외수당)예외대상관리] 화면에서 수당명으로 입력해서 조회 가능하게 요청
[업무처리] 해당사항 수정 및 테스트 진행
[업무처리] 모듈에 적용후 해당 모듈에 대한 작업진행.
[업무처리] 배포완료
[결과안내] 담당자 안내 완료</t>
  </si>
  <si>
    <t>[요청파악] 쿼리자료는 메일로 받았습니다.
[분석설계] 보내주신 쿼리를 조회하는 경우 일부 테이블을 인식하지 못하는 오류가 발생합니다.
변경된 쿼리에 SNT계정에 조회권한이 없는 테이블이 존재하는것으로 예상하고 있습니다.
[업무처리] 요구자와 통화하여 관련테이블의 권한을 요청하였습니다.
[분석설계] 관련테이블에 대한 권한을 부여받아 받은 쿼리를 실행해보았습니다.
실행타임이 약 2분정도 걸리는 현상을 확인하여 요구자와 논의하였으나 추가적인 쿼리 튜닝이 힘들다고
판단하여 원자료에 대한 적용부분을 실사용자의 액션에서 제거하고 년에 한번 별도의 테이블에 쌓는 기능을 추가하고 실사용자가 자료를 생성하는 경우 해당 테이블에서 자료를 불러오는 방향으로 변경하는것으로 협의하였씁니다.
[업무처리] 자료생성 프로시저 추가 및 기타정산관리 일괄생성기능 추가 작업
[업무처리] 실서버 반영 및 테스트작업.
[결과안내] 요구자와 통화하여 수정내용을 안내하였습니다.</t>
  </si>
  <si>
    <t>[결과안내] 다른 담당자 분께서 별로도 요구사항 작성해주시기로 하였습니다</t>
  </si>
  <si>
    <t>[요청파악] rnd@softnetkr.com
[업무처리] 전종훈 선생님 같은 특이사항은 국세청 문의후 판단하에 자체처리하시기로 하였습니다
[업무처리] 엑셀 업로드시 잘못올라간 데이터는 메일로 공유해 주시기로 하였습니다
[결과안내] 완료</t>
  </si>
  <si>
    <t>[업무처리] 4건 내부에서 처리하기로 하였고 중도퇴사자의 경우 개인정보 탭에서 중도정산 체크하도록 안내 
그외에 인원은 현재 데이터가 정상적으로 입력된것으로 보여서 안내드렸습니다
[결과안내] 완료</t>
  </si>
  <si>
    <t>[업무처리] 메일로 송부하였습니다</t>
  </si>
  <si>
    <t>[분석설계] 해당하는 사원분 부서 '원장비서실' 이 OCS연동 부서코드가 비어있음.
[업무처리] OCS쪽에 원장비서실이 코드가 없어 해당하는 테이블 정보 안내.
[결과안내] 담당자 안내 완료</t>
  </si>
  <si>
    <t>[분석설계] 연말정산 데이터 생성시 월 기본자료가 존재시에만 데이터 생성이 가능함 하지만 해당 사번 11월 당시 월기본자료가 생성되지 않아서 발생한 문제
[결과안내] 현근무처 수정 안내드렸습니다</t>
  </si>
  <si>
    <t>[업무처리] 원천징수증상 인정상여금액은 현근무처의 인정상여 진료비감면 장례식장감면금액의 합으로 확인
[업무처리] 사번 2010062번의 인정상여 금액이 달려서 연락주신걸로 확인
[업무처리] 현재 재생성시에는 금액이 이상없는것으로 확인
연말정산 데이터는 로그를 남기지 않기에 세부 내용은 추적이 불가능
[결과안내] 담당자 연결후 안내완료</t>
  </si>
  <si>
    <t>[업무처리] 정규직전환자월급여관리를 먼저 생성하지 않고 기본자료를 먼저 생성할시 해당사항이 발생하는것으로 확인됨
정규직 전환자 월급여관리 생성후 월급여관리 월기본자료 생성후 다시 정규직전환자월급여관리를 재생성해야 하는것으로 확인됨
[결과안내] 담당자 연결후 안내완료</t>
  </si>
  <si>
    <t>[분석설계] 기타정산항목에서 급식비에 관하여 연말정산연결코드가 비어있어 해당사항 발생.
[결과안내] 담당자 안내 완료</t>
  </si>
  <si>
    <t>[분석설계] 종전,종전전, 전부 같은 방식으로 신고됩니다
[업무처리] 종전,종전전 전근무처에 데이터를 한건이라도 입력하였을 경우 전부 조회되도록 수정하였습니다
[결과안내] 담당자 연결후 안내완료</t>
  </si>
  <si>
    <t>[업무처리] 메일송부 완료
[결과안내] 담당자 연결후 안내</t>
  </si>
  <si>
    <t>[요청파악] 현업업무 - (급여외수당)지급내역입력 메뉴에서 저장시 사원이 퇴직상태면 퇴사일자로 부터 2달뒤부터 저장할때 체크할수 있도록 수정 요청.
[업무처리] (급여외수당) 지급내역입력 수정작업.
[결과안내] 요구자와 통화하여 수정내용을 안내하였습니다.</t>
  </si>
  <si>
    <t>[분석설계] 사원번호 기준이 아닌 도급직 분들에 대해서만 재직증명서 발행이 안되게끔 원하심. 해당사항 기타코드랑 연결지어 개발예정.
[요청파악] 요구자와 통화하여 사원정보의 조회제외대상여부를 기준으로 입력제한을 진행하는 것으로 협의하였습니다.
[업무처리] 증명서발행, 증명서발행(개인) 수정작업
[결과안내] 요구자와 통화하여 처리내용을 안내하였습니다.</t>
  </si>
  <si>
    <t>[분석설계] 해당데이터 확인결과 감정휴가에 관하여 반려처리된 자료가 존재함. 해당하는 데이터 확정된 자료만 불러올수 있도록 수정예정.
[업무처리] 수정후 긴급배포 실행.
[결과안내] 담당자 안내 완료</t>
  </si>
  <si>
    <t>[요청파악] 요구자와 통화하여 사원정보의 조회제외대상여부를 기준으로 입력제한을 진행하는 것으로 협의하였습니다.
[업무처리] 기타정산자료관리 수정작업.
[결과안내] 요구자와 통화하여 처리내용을 안내하였습니다.</t>
  </si>
  <si>
    <t>[분석설계] 해당사항 분석결과 이전 해외연수가 조기복귀를 하게되어서 복직코드로 발령을 신청하였는데, 해당하는 발령은 적절치 않은 발령이기 때문에 해당하는 오류가 발생함.
[업무처리] 그런경우에는 발령구분을 해외연수복귀로 새로 만들어 처리하는 방법 안내.</t>
  </si>
  <si>
    <t>[업무처리] 원천징수이행상황신고파일생성 수정
[결과안내] 담당자 연결후 안내완료</t>
  </si>
  <si>
    <t>[업무처리] 입력마감 처리후 정산마감 처리 전단계에서 근로소득원천징수증 조회기능이 비활성화 됨을 안내드렸습니다</t>
  </si>
  <si>
    <t>[업무처리] 세액계산시 종전 근무지별로 각각 개별 신고하기에 신고금액에는 이상없는부분 확인하였습니다
[업무처리] 장부 집계하는 부분에 종전,종전전 까지만 금액이 합산되어서 문제되는 현상을 확인하였습니다 우선 종전전전 까지 금액을 합산 표시하도록 수정완료하였습니다
[결과안내] 담당자 연결후 안내완료</t>
  </si>
  <si>
    <t>[분석설계] 오류확인을 위하여 테스트 결과 3일까지는 문제없이 적용되는것으로 확인되고 있습니다.
또한 근속휴가는 근태구분관리 설정과 상관없이 사용하고자 하는 사원의 입사일자로 부터 계산하여
연최대사용일수를 계산하고 있습니다.
[결과안내] 요구자와 통화하여 현재 사용에 문제가 없음을 안내하였으며
이전 알림메시지는 사용기간이 해당되지 않아서 총사용가능일수가 0인상태로 진행하여
나온것으로 안내하였습니다.</t>
  </si>
  <si>
    <t>[요청파악] 요구자와 통화하여 사원정보의 조회제외대상여부를 기준으로 입력제한을 진행하는 것으로 협의하였습니다.
[업무처리] (급여외수당) 지급내역입력 수정작업
[결과안내] 요구자와 통화하여 처리내용을 안내하였습니다.</t>
  </si>
  <si>
    <t>[업무처리] 데이터 수정처리완료
[업무처리] 이후 년도부터 전년도의 개인정보 설정을 가져와서 전년도에 급여반영제외여부가 되어있었으면 올해도 적용되게 수정하였습니다
[결과안내] 담당자 연결후 안내완료</t>
  </si>
  <si>
    <t>[요청파악] [자산입력]에서 시설관리팀반납실로 되어 있는 자산이 [폐기처분의뢰입력]에서 자산이 조회되지 않는다고 하십니다.
[요청파악] 
현재 [폐기(처분)의뢰입력]화면의 [폐기의뢰품목] 버튼 클릭 시 조회되는 자산은
폐기처분의뢰 입력에 입력이 되지 않았거나 폐기처분의뢰 입력이 확정까지 진행된 품목에 한해 노출
예시 자산인 G1009010575은
의뢰부서 N0226(자산관리팀)에서 25-11-05일자로 의뢰입력을 한 자산으로 제출 및 확정이 진행되지 않아
중복 방지를 위해 폐기의뢰품목 리스트에 노출되지 않고 있음.
[결과안내] 추후 다른 예시 자산이 있으면 새 요구사항으로 올려주시기로 함. 담당자 안내 완료</t>
  </si>
  <si>
    <t>[분석설계] 이력이 5줄 이상인경우 오류발생하는것으로 확인
[업무처리] 수정완료후 배포
[결과안내] 담당자 연결후 안내완료</t>
  </si>
  <si>
    <t>[업무처리] 비과세상세, 기타비과세상세 컬럼추가 밑 종전 근무지의 최대치로 컬럼이 조정되게 수정완료
[결과안내] 담당자 연결후 안내완료</t>
  </si>
  <si>
    <t>[업무처리] -제외후 숫자인지 검색하도록 프로그램 반영하였습니다
[업무처리] 2번사항 반영이 되어있는것으로 확인
[결과안내] 담당자 연결후 안내완료</t>
  </si>
  <si>
    <t>[분석설계] 
G3001000078 자산 정상 조회 됨
현재 [폐기(처분)의뢰입력] 화면의 [폐기의뢰품목]에 노출되는 자산들은
[자산입력]화면의 관리상태 값을 가져와 구분합니다.
관리자: 관리상태 10.정상 / 29.폐기 대상 자산노출
사용자: 29.폐기 대상 값인 자산 노출
G1004110419, G0205000057, G1010040049 자산은 현재 11.수리 자산으로
[폐기의뢰품목]에 노출되지 않고있습니다.
[결과안내] 담당자 안내 완료</t>
  </si>
  <si>
    <t>[결과안내] 해당 메뉴 조회조건 안내완료.</t>
  </si>
  <si>
    <t>[요청파악] [자산입력일괄생성]에서 인터페이스에서 불러오는 "주관부서","보유부서","설치장소" 데이터 불러오는지 확인 요청 및 이름 변경 요청
[업무처리] 캡션 변경은 메디인포 프로그램 기준으로 나오는거기 때문에 불가 안내,
AS02644A-001648건 관련해서 적용이 되었으나 잘못나오는 자료가 있으면 케이스랑 같이 올려 달라고 담당자 안내완료</t>
  </si>
  <si>
    <t>[요청파악] [요청파악] [자산입력일괄생성]에서 인터페이스에서 불러오는 "주관부서","보유부서","설치장소" 데이터 불러오는지 확인 요청 및 이름 변경 요청
[업무처리] 캡션 변경은 메디인포 프로그램 기준으로 나오는거기 때문에 불가 안내,
AS02644A-001648건 관련해서 적용이 되었으나 잘못나오는 자료가 있으면 케이스랑 같이 올려 달라고 담당자 안내완료</t>
  </si>
  <si>
    <t>[결과안내] 배포 후 담당자 안내완료했습니다</t>
  </si>
  <si>
    <t>[분석설계] 
해당 화면은 [예방점검설정] 화면에 있는 자료를 끌고와서 같이 조회해주는데
E39170006, E39170004 두 자산에 대하여 예방점검일자가 '지'로 들어가있어서 발생 중
[결과안내] 
전산팀에 테이블(ASTB3100)과 해당 이상 데이터가 들어간 컬럼(F_CHECK_DATE) 전달 완료
해당 건은 완료친 후 데이터가 들어가게 된 경로 추적이 되면 다시 안내드리기로 함</t>
  </si>
  <si>
    <t>[요청파악] 관련 오류 메세지 이미지 메일로 전송 해주신다고 하십니다
[결과안내] 담당 선생님께서 다시 저장했더니 되셨다고 하셔서 철회로 협의</t>
  </si>
  <si>
    <t>[업무처리] 삭제 완료하였고 급여지급자료만 재생성하시면 되겠습니다
[결과안내] 담당자 연결후 안내완료</t>
  </si>
  <si>
    <t>[분석설계] 사용가능코드집계시 해당코드 근무구분관리에서 잘 가지고 오는지. 해당 로직 작동여부 확인작업.
[업무처리] 개발자 직접 저장해봤을때 문제가 없어 해당 근무표에 대한 엑셀자료 메일로 요청
[결과안내] 담당자 안내후 해당건 테스트 진행후 추후 수정 진행안내</t>
  </si>
  <si>
    <t>[업무처리] 해당 금액 0원처리 완료.
[결과안내] 담당자 안내 완료</t>
  </si>
  <si>
    <t>[분석설계] 기존에는 실퇴사일자로 근태신청입력에 별도로 작성을 안하였으나 최근 결근후 퇴사자도 근태신청입력 작성하는것으로 확인
[업무처리] 제외일수를 조회할때 실퇴사일자 이전의 근태만 조회하여 제외일수 산정하는 방법으로 로직수정
[결과안내] 담당자 연결후 안내완료</t>
  </si>
  <si>
    <t>[요청파악] [이동의뢰입력]에서 반납할 때 이미 반납된 자산일 경우를 체크를 해달라고 하십니다.
[요청파악] 반납 후 폐기처리 된 자산에 한해서 재반납을 할 수 없게 팝업메세지 요청
[업무처리] [자산입력] 화면의 [관리상태]가 20.처분/폐기일 경우 반납 의뢰 시 팝업 알림 작업
[결과안내] 배포 및 담당자 안내 완료</t>
  </si>
  <si>
    <t>[분석설계] 전월에 해당하는 일자의 표시수에 따라 발생하는 문제가 있음을 확인하였습니다.
[업무처리] 오류수정작업.
[결과안내] 요구자와 통화하여 수정내용을 안내하였습니다.</t>
  </si>
  <si>
    <t>[요청파악] 해당 컬럼에 데이터를 넣어줘야 하는지 문의 요청
[요청파악] 
● 각 컬럼별 입력 화면
[예방점검결과확인] 화면의 [선택일괄확인] 및 [확인처리] 시: F_EMPL_CODE01, F_EMPL_DATE01 삽입
[예방점검결과입력] 화면의 저장 시: F_EMPL_CODE02, F_EMPL_DATE02, F_PFLG, F_PDATE, F_PUSER 삽입
[결과안내] 담당자 안내 완료</t>
  </si>
  <si>
    <t>[요청파악] 첨부해주신 자산번호 E31070023 테스트 출력 시 정상 작동하여 소스에는 이상 없는 것으로 확인됨
[결과안내] 담당자 통화 결과 정남헌 선생님 자리에서만 출력이 안되는 것으로 확인되어 요구사항 철회</t>
  </si>
  <si>
    <t>[업무처리] 오타 수정 작업
[결과안내] 담당자 안내 및 긴급배포 완료</t>
  </si>
  <si>
    <t>[분석설계] 출산보육수당 한도액을 계산할때 급여 기본자료관리의 가족정보로 계산을 하지만 기본자료가 존재하지 않아 생성되지 않은것으로 확인됩니다
[분석설계] 전달중 최근달의 가족정보로 출산보육수당 한도액 계산하기로 협의하였습니다
[업무처리] 당월 가족정보 조회불가시 전달중 최근달로 조회후 출산보육수당 계산하도록 로직 수정후 현업자와 협의후 테스트까지 진행완료
[결과안내] 담당자 연결후 안내완료</t>
  </si>
  <si>
    <t>[분석설계] 보직면직이라고 해서 TODD가 특별히 다르게 업데이트 되는 로직은 존재하지 않음.
[결과안내] 담당자 안내 완료</t>
  </si>
  <si>
    <t>[요청파악] 
위치코드 211020000001.신생아실 , 306050000001.신생아중환자실에 관하여 부서가 2건씩 걸려있어서 서브쿼리에서 단독행 호출이 안되면서 발생한 문제
[업무처리] 자산위치명 불러오는 서브쿼리에 ROWNUM추가
[결과안내] 긴급배포 및 안내 완료</t>
  </si>
  <si>
    <t>[업무처리] 시스템 글씨체 수정하여서 문자 끝이 짤리지 않는 폰트로 수정
[결과안내] 담당자 연결후 안내완료</t>
  </si>
  <si>
    <t>진행상태</t>
  </si>
  <si>
    <t>완료</t>
  </si>
  <si>
    <t>철회</t>
  </si>
  <si>
    <t>불가</t>
  </si>
  <si>
    <t>요구번호</t>
  </si>
  <si>
    <t>AS02644A-001603</t>
  </si>
  <si>
    <t>AS02644A-001649</t>
  </si>
  <si>
    <t>AS02644A-001648</t>
  </si>
  <si>
    <t>AS02644A-001650</t>
  </si>
  <si>
    <t>AS02644A-001651</t>
  </si>
  <si>
    <t>AS02644A-001652</t>
  </si>
  <si>
    <t>AS02644A-001653</t>
  </si>
  <si>
    <t>AS02644A-001654</t>
  </si>
  <si>
    <t>AS02644A-001655</t>
  </si>
  <si>
    <t>AS02644A-001656</t>
  </si>
  <si>
    <t>AS02644A-001657</t>
  </si>
  <si>
    <t>AS02644A-001658</t>
  </si>
  <si>
    <t>AS02644A-001659</t>
  </si>
  <si>
    <t>AS02644A-001660</t>
  </si>
  <si>
    <t>AS02644A-001661</t>
  </si>
  <si>
    <t>AS02644A-001662</t>
  </si>
  <si>
    <t>AS02644A-001663</t>
  </si>
  <si>
    <t>AS02644A-001664</t>
  </si>
  <si>
    <t>AS02644A-001665</t>
  </si>
  <si>
    <t>AS02644A-001666</t>
  </si>
  <si>
    <t>AS02644A-001667</t>
  </si>
  <si>
    <t>AS02644A-001668</t>
  </si>
  <si>
    <t>AS02644A-001669</t>
  </si>
  <si>
    <t>AS02644A-001670</t>
  </si>
  <si>
    <t>AS02644A-001671</t>
  </si>
  <si>
    <t>AS02644A-001672</t>
  </si>
  <si>
    <t>AS02644A-001673</t>
  </si>
  <si>
    <t>AS02644A-001674</t>
  </si>
  <si>
    <t>AS02644A-001675</t>
  </si>
  <si>
    <t>AS02644A-001676</t>
  </si>
  <si>
    <t>AS02644A-001677</t>
  </si>
  <si>
    <t>AS02644A-001678</t>
  </si>
  <si>
    <t>AS02644A-001679</t>
  </si>
  <si>
    <t>AS02644A-001680</t>
  </si>
  <si>
    <t>AS02644A-001681</t>
  </si>
  <si>
    <t>AS02644A-001682</t>
  </si>
  <si>
    <t>AS02644A-001683</t>
  </si>
  <si>
    <t>AS02644A-001685</t>
  </si>
  <si>
    <t>AS02644A-001686</t>
  </si>
  <si>
    <t>AS02644A-001687</t>
  </si>
  <si>
    <t>AS02644A-001688</t>
  </si>
  <si>
    <t>AS02644A-001689</t>
  </si>
  <si>
    <t>AS02644A-001690</t>
  </si>
  <si>
    <t>AS02644A-001691</t>
  </si>
  <si>
    <t>AS02644A-001692</t>
  </si>
  <si>
    <t>AS02644A-001693</t>
  </si>
  <si>
    <t>AS02644A-001694</t>
  </si>
  <si>
    <t>AS02644A-001695</t>
  </si>
  <si>
    <t>AS02644A-001696</t>
  </si>
  <si>
    <t>AS02644A-001697</t>
  </si>
  <si>
    <t>AS02644A-001698</t>
  </si>
  <si>
    <t>AS02644A-001699</t>
  </si>
  <si>
    <t>AS02644A-001700</t>
  </si>
  <si>
    <t>AS02644A-001701</t>
  </si>
  <si>
    <t>AS02644A-001702</t>
  </si>
  <si>
    <t>배포일자</t>
  </si>
  <si>
    <t/>
  </si>
  <si>
    <t>긴급배포</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</si>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</sst>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rgb="FF000000"/>
      <name val="Calibri"/>
    </font>
    <font>
      <sz val="9"/>
      <color rgb="FF000000"/>
      <name val="굴림체"/>
      <family val="3"/>
      <charset val="129"/>
    </font>
    <font>
      <sz val="9"/>
      <color rgb="FF373A3D"/>
      <name val="굴림체"/>
      <family val="3"/>
      <charset val="129"/>
    </font>
    <font>
      <sz val="9"/>
      <color rgb="FF373A3D"/>
      <name val="굴림체"/>
      <family val="3"/>
      <charset val="129"/>
    </font>
    <font>
      <sz val="9"/>
      <color rgb="FF373A3D"/>
      <name val="굴림체"/>
      <family val="3"/>
      <charset val="129"/>
    </font>
    <font>
      <sz val="8"/>
      <name val="돋움"/>
      <family val="3"/>
      <charset val="129"/>
    </font>
  </fonts>
  <fills count="6">
    <fill>
      <patternFill patternType="none"/>
    </fill>
    <fill>
      <patternFill patternType="gray125"/>
    </fill>
    <fill>
      <patternFill patternType="solid">
        <fgColor rgb="FFC0C0C0"/>
      </patternFill>
    </fill>
    <fill>
      <patternFill patternType="solid">
        <fgColor rgb="FFFFFFFF"/>
      </patternFill>
    </fill>
    <fill>
      <patternFill patternType="solid">
        <fgColor rgb="FFFFFFFF"/>
      </patternFill>
    </fill>
    <fill>
      <patternFill patternType="solid">
        <fgColor rgb="FFFFFFFF"/>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s>
  <cellStyleXfs count="1">
    <xf numFmtId="0" fontId="0" fillId="0" borderId="0">
      <alignment vertical="center"/>
    </xf>
  </cellStyleXfs>
  <cellXfs count="5">
    <xf numFmtId="0" fontId="0" fillId="0" borderId="0" xfId="0">
      <alignment vertical="center"/>
    </xf>
    <xf numFmtId="49" fontId="1" fillId="2" borderId="1" xfId="0" applyNumberFormat="1" applyFont="1" applyFill="1" applyBorder="1" applyAlignment="1">
      <alignment horizontal="center" vertical="center" wrapText="1"/>
    </xf>
    <xf numFmtId="0" fontId="2" fillId="3" borderId="2" xfId="0" applyFont="1" applyFill="1" applyBorder="1" applyAlignment="1">
      <alignment horizontal="right" vertical="center" wrapText="1"/>
    </xf>
    <xf numFmtId="49" fontId="3" fillId="4" borderId="3" xfId="0" applyNumberFormat="1" applyFont="1" applyFill="1" applyBorder="1" applyAlignment="1">
      <alignment horizontal="left" vertical="center" wrapText="1"/>
    </xf>
    <xf numFmtId="49" fontId="4" fillId="5" borderId="4" xfId="0" applyNumberFormat="1"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showGridLines="0" tabSelected="1" workbookViewId="0">
      <selection activeCell="J57" sqref="J57"/>
    </sheetView>
  </sheetViews>
  <sheetFormatPr defaultRowHeight="16.5" x14ac:dyDescent="0.25"/>
  <cols>
    <col min="1" max="1" width="5.7109375" customWidth="1"/>
    <col min="2" max="3" width="10" customWidth="1"/>
    <col min="4" max="4" width="6.7109375" customWidth="1"/>
    <col min="5" max="6" width="17.140625" customWidth="1"/>
    <col min="7" max="7" width="8.5703125" customWidth="1"/>
    <col min="8" max="9" width="28.5703125" customWidth="1"/>
    <col min="10" max="10" width="5.7109375" customWidth="1"/>
    <col min="11" max="11" width="14.28515625" customWidth="1"/>
    <col min="12" max="12" width="10" customWidth="1"/>
    <col min="13" max="13" width="5.7109375" customWidth="1"/>
  </cols>
  <sheetData>
    <row r="1" spans="1:13" ht="31.5" customHeight="1" x14ac:dyDescent="0.25">
      <c r="A1" s="1" t="s">
        <v>0</v>
      </c>
      <c r="B1" s="1" t="s">
        <v>1</v>
      </c>
      <c r="C1" s="1" t="s">
        <v>17</v>
      </c>
      <c r="D1" s="1" t="s">
        <v>20</v>
      </c>
      <c r="E1" s="1" t="s">
        <v>26</v>
      </c>
      <c r="F1" s="1" t="s">
        <v>28</v>
      </c>
      <c r="G1" s="1" t="s">
        <v>37</v>
      </c>
      <c r="H1" s="1" t="s">
        <v>42</v>
      </c>
      <c r="I1" s="1" t="s">
        <v>98</v>
      </c>
      <c r="J1" s="1" t="s">
        <v>154</v>
      </c>
      <c r="K1" s="1" t="s">
        <v>158</v>
      </c>
      <c r="L1" s="1" t="s">
        <v>214</v>
      </c>
      <c r="M1" s="1" t="s">
        <v>216</v>
      </c>
    </row>
    <row r="2" spans="1:13" ht="409.5" customHeight="1" x14ac:dyDescent="0.25">
      <c r="A2" s="2">
        <v>116</v>
      </c>
      <c r="B2" s="3" t="s">
        <v>2</v>
      </c>
      <c r="C2" s="3" t="s">
        <v>7</v>
      </c>
      <c r="D2" s="4" t="s">
        <v>21</v>
      </c>
      <c r="E2" s="3" t="s">
        <v>27</v>
      </c>
      <c r="F2" s="3" t="s">
        <v>29</v>
      </c>
      <c r="G2" s="3" t="s">
        <v>38</v>
      </c>
      <c r="H2" s="3" t="s">
        <v>43</v>
      </c>
      <c r="I2" s="3" t="s">
        <v>99</v>
      </c>
      <c r="J2" s="4" t="s">
        <v>155</v>
      </c>
      <c r="K2" s="3" t="s">
        <v>159</v>
      </c>
      <c r="L2" s="3" t="s">
        <v>7</v>
      </c>
      <c r="M2" s="4" t="s">
        <v>217</v>
      </c>
    </row>
    <row r="3" spans="1:13" ht="151.5" customHeight="1" x14ac:dyDescent="0.25">
      <c r="A3" s="2">
        <v>118</v>
      </c>
      <c r="B3" s="3" t="s">
        <v>3</v>
      </c>
      <c r="C3" s="3" t="s">
        <v>12</v>
      </c>
      <c r="D3" s="4" t="s">
        <v>21</v>
      </c>
      <c r="E3" s="3" t="s">
        <v>27</v>
      </c>
      <c r="F3" s="3" t="s">
        <v>30</v>
      </c>
      <c r="G3" s="3" t="s">
        <v>39</v>
      </c>
      <c r="H3" s="3" t="s">
        <v>44</v>
      </c>
      <c r="I3" s="3" t="s">
        <v>100</v>
      </c>
      <c r="J3" s="4" t="s">
        <v>155</v>
      </c>
      <c r="K3" s="3" t="s">
        <v>160</v>
      </c>
      <c r="L3" s="3" t="s">
        <v>12</v>
      </c>
      <c r="M3" s="4" t="s">
        <v>217</v>
      </c>
    </row>
    <row r="4" spans="1:13" ht="162" customHeight="1" x14ac:dyDescent="0.25">
      <c r="A4" s="2">
        <v>117</v>
      </c>
      <c r="B4" s="3" t="s">
        <v>4</v>
      </c>
      <c r="C4" s="3" t="s">
        <v>7</v>
      </c>
      <c r="D4" s="4" t="s">
        <v>22</v>
      </c>
      <c r="E4" s="3" t="s">
        <v>27</v>
      </c>
      <c r="F4" s="3" t="s">
        <v>29</v>
      </c>
      <c r="G4" s="3" t="s">
        <v>40</v>
      </c>
      <c r="H4" s="3" t="s">
        <v>45</v>
      </c>
      <c r="I4" s="3" t="s">
        <v>101</v>
      </c>
      <c r="J4" s="4" t="s">
        <v>155</v>
      </c>
      <c r="K4" s="3" t="s">
        <v>161</v>
      </c>
      <c r="L4" s="3" t="s">
        <v>7</v>
      </c>
      <c r="M4" s="4" t="s">
        <v>217</v>
      </c>
    </row>
    <row r="5" spans="1:13" ht="69" customHeight="1" x14ac:dyDescent="0.25">
      <c r="A5" s="2">
        <v>119</v>
      </c>
      <c r="B5" s="3" t="s">
        <v>4</v>
      </c>
      <c r="C5" s="3" t="s">
        <v>7</v>
      </c>
      <c r="D5" s="4" t="s">
        <v>23</v>
      </c>
      <c r="E5" s="3" t="s">
        <v>27</v>
      </c>
      <c r="F5" s="3" t="s">
        <v>29</v>
      </c>
      <c r="G5" s="3" t="s">
        <v>39</v>
      </c>
      <c r="H5" s="3" t="s">
        <v>46</v>
      </c>
      <c r="I5" s="3" t="s">
        <v>102</v>
      </c>
      <c r="J5" s="4" t="s">
        <v>155</v>
      </c>
      <c r="K5" s="3" t="s">
        <v>162</v>
      </c>
      <c r="L5" s="3" t="s">
        <v>7</v>
      </c>
      <c r="M5" s="4" t="s">
        <v>217</v>
      </c>
    </row>
    <row r="6" spans="1:13" ht="100.5" customHeight="1" x14ac:dyDescent="0.25">
      <c r="A6" s="2">
        <v>120</v>
      </c>
      <c r="B6" s="3" t="s">
        <v>5</v>
      </c>
      <c r="C6" s="3" t="s">
        <v>5</v>
      </c>
      <c r="D6" s="4" t="s">
        <v>24</v>
      </c>
      <c r="E6" s="3" t="s">
        <v>27</v>
      </c>
      <c r="F6" s="3" t="s">
        <v>29</v>
      </c>
      <c r="G6" s="3" t="s">
        <v>41</v>
      </c>
      <c r="H6" s="3" t="s">
        <v>47</v>
      </c>
      <c r="I6" s="3" t="s">
        <v>103</v>
      </c>
      <c r="J6" s="4" t="s">
        <v>155</v>
      </c>
      <c r="K6" s="3" t="s">
        <v>163</v>
      </c>
      <c r="L6" s="3" t="s">
        <v>5</v>
      </c>
      <c r="M6" s="4" t="s">
        <v>218</v>
      </c>
    </row>
    <row r="7" spans="1:13" ht="130.5" customHeight="1" x14ac:dyDescent="0.25">
      <c r="A7" s="2">
        <v>121</v>
      </c>
      <c r="B7" s="3" t="s">
        <v>5</v>
      </c>
      <c r="C7" s="3" t="s">
        <v>5</v>
      </c>
      <c r="D7" s="4" t="s">
        <v>21</v>
      </c>
      <c r="E7" s="3" t="s">
        <v>27</v>
      </c>
      <c r="F7" s="3" t="s">
        <v>29</v>
      </c>
      <c r="G7" s="3" t="s">
        <v>38</v>
      </c>
      <c r="H7" s="3" t="s">
        <v>48</v>
      </c>
      <c r="I7" s="3" t="s">
        <v>104</v>
      </c>
      <c r="J7" s="4" t="s">
        <v>155</v>
      </c>
      <c r="K7" s="3" t="s">
        <v>164</v>
      </c>
      <c r="L7" s="3" t="s">
        <v>5</v>
      </c>
      <c r="M7" s="4" t="s">
        <v>218</v>
      </c>
    </row>
    <row r="8" spans="1:13" ht="48" customHeight="1" x14ac:dyDescent="0.25">
      <c r="A8" s="2">
        <v>122</v>
      </c>
      <c r="B8" s="3" t="s">
        <v>5</v>
      </c>
      <c r="C8" s="3" t="s">
        <v>5</v>
      </c>
      <c r="D8" s="4" t="s">
        <v>22</v>
      </c>
      <c r="E8" s="3" t="s">
        <v>27</v>
      </c>
      <c r="F8" s="3" t="s">
        <v>31</v>
      </c>
      <c r="G8" s="3" t="s">
        <v>40</v>
      </c>
      <c r="H8" s="3" t="s">
        <v>49</v>
      </c>
      <c r="I8" s="3" t="s">
        <v>105</v>
      </c>
      <c r="J8" s="4" t="s">
        <v>156</v>
      </c>
      <c r="K8" s="3" t="s">
        <v>165</v>
      </c>
      <c r="L8" s="3" t="s">
        <v>215</v>
      </c>
      <c r="M8" s="4" t="s">
        <v>217</v>
      </c>
    </row>
    <row r="9" spans="1:13" ht="109.5" customHeight="1" x14ac:dyDescent="0.25">
      <c r="A9" s="2">
        <v>123</v>
      </c>
      <c r="B9" s="3" t="s">
        <v>6</v>
      </c>
      <c r="C9" s="3" t="s">
        <v>18</v>
      </c>
      <c r="D9" s="4" t="s">
        <v>23</v>
      </c>
      <c r="E9" s="3" t="s">
        <v>27</v>
      </c>
      <c r="F9" s="3" t="s">
        <v>32</v>
      </c>
      <c r="G9" s="3" t="s">
        <v>39</v>
      </c>
      <c r="H9" s="3" t="s">
        <v>50</v>
      </c>
      <c r="I9" s="3" t="s">
        <v>106</v>
      </c>
      <c r="J9" s="4" t="s">
        <v>155</v>
      </c>
      <c r="K9" s="3" t="s">
        <v>166</v>
      </c>
      <c r="L9" s="3" t="s">
        <v>18</v>
      </c>
      <c r="M9" s="4" t="s">
        <v>217</v>
      </c>
    </row>
    <row r="10" spans="1:13" ht="337.5" customHeight="1" x14ac:dyDescent="0.25">
      <c r="A10" s="2">
        <v>124</v>
      </c>
      <c r="B10" s="3" t="s">
        <v>6</v>
      </c>
      <c r="C10" s="3" t="s">
        <v>12</v>
      </c>
      <c r="D10" s="4" t="s">
        <v>21</v>
      </c>
      <c r="E10" s="3" t="s">
        <v>27</v>
      </c>
      <c r="F10" s="3" t="s">
        <v>29</v>
      </c>
      <c r="G10" s="3" t="s">
        <v>39</v>
      </c>
      <c r="H10" s="3" t="s">
        <v>51</v>
      </c>
      <c r="I10" s="3" t="s">
        <v>107</v>
      </c>
      <c r="J10" s="4" t="s">
        <v>155</v>
      </c>
      <c r="K10" s="3" t="s">
        <v>167</v>
      </c>
      <c r="L10" s="3" t="s">
        <v>12</v>
      </c>
      <c r="M10" s="4" t="s">
        <v>217</v>
      </c>
    </row>
    <row r="11" spans="1:13" ht="37.5" customHeight="1" x14ac:dyDescent="0.25">
      <c r="A11" s="2">
        <v>125</v>
      </c>
      <c r="B11" s="3" t="s">
        <v>6</v>
      </c>
      <c r="C11" s="3" t="s">
        <v>6</v>
      </c>
      <c r="D11" s="4" t="s">
        <v>25</v>
      </c>
      <c r="E11" s="3" t="s">
        <v>27</v>
      </c>
      <c r="F11" s="3" t="s">
        <v>30</v>
      </c>
      <c r="G11" s="3" t="s">
        <v>39</v>
      </c>
      <c r="H11" s="3" t="s">
        <v>52</v>
      </c>
      <c r="I11" s="3" t="s">
        <v>108</v>
      </c>
      <c r="J11" s="4" t="s">
        <v>156</v>
      </c>
      <c r="K11" s="3" t="s">
        <v>168</v>
      </c>
      <c r="L11" s="3" t="s">
        <v>215</v>
      </c>
      <c r="M11" s="4" t="s">
        <v>217</v>
      </c>
    </row>
    <row r="12" spans="1:13" ht="90" customHeight="1" x14ac:dyDescent="0.25">
      <c r="A12" s="2">
        <v>126</v>
      </c>
      <c r="B12" s="3" t="s">
        <v>6</v>
      </c>
      <c r="C12" s="3" t="s">
        <v>6</v>
      </c>
      <c r="D12" s="4" t="s">
        <v>25</v>
      </c>
      <c r="E12" s="3" t="s">
        <v>27</v>
      </c>
      <c r="F12" s="3" t="s">
        <v>32</v>
      </c>
      <c r="G12" s="3" t="s">
        <v>41</v>
      </c>
      <c r="H12" s="3" t="s">
        <v>53</v>
      </c>
      <c r="I12" s="3" t="s">
        <v>109</v>
      </c>
      <c r="J12" s="4" t="s">
        <v>155</v>
      </c>
      <c r="K12" s="3" t="s">
        <v>169</v>
      </c>
      <c r="L12" s="3" t="s">
        <v>215</v>
      </c>
      <c r="M12" s="4" t="s">
        <v>217</v>
      </c>
    </row>
    <row r="13" spans="1:13" ht="90" customHeight="1" x14ac:dyDescent="0.25">
      <c r="A13" s="2">
        <v>127</v>
      </c>
      <c r="B13" s="3" t="s">
        <v>6</v>
      </c>
      <c r="C13" s="3" t="s">
        <v>7</v>
      </c>
      <c r="D13" s="4" t="s">
        <v>25</v>
      </c>
      <c r="E13" s="3" t="s">
        <v>27</v>
      </c>
      <c r="F13" s="3" t="s">
        <v>29</v>
      </c>
      <c r="G13" s="3" t="s">
        <v>39</v>
      </c>
      <c r="H13" s="3" t="s">
        <v>54</v>
      </c>
      <c r="I13" s="3" t="s">
        <v>110</v>
      </c>
      <c r="J13" s="4" t="s">
        <v>155</v>
      </c>
      <c r="K13" s="3" t="s">
        <v>170</v>
      </c>
      <c r="L13" s="3" t="s">
        <v>215</v>
      </c>
      <c r="M13" s="4" t="s">
        <v>217</v>
      </c>
    </row>
    <row r="14" spans="1:13" ht="48" customHeight="1" x14ac:dyDescent="0.25">
      <c r="A14" s="2">
        <v>128</v>
      </c>
      <c r="B14" s="3" t="s">
        <v>7</v>
      </c>
      <c r="C14" s="3" t="s">
        <v>7</v>
      </c>
      <c r="D14" s="4" t="s">
        <v>25</v>
      </c>
      <c r="E14" s="3" t="s">
        <v>27</v>
      </c>
      <c r="F14" s="3" t="s">
        <v>29</v>
      </c>
      <c r="G14" s="3" t="s">
        <v>39</v>
      </c>
      <c r="H14" s="3" t="s">
        <v>55</v>
      </c>
      <c r="I14" s="3" t="s">
        <v>111</v>
      </c>
      <c r="J14" s="4" t="s">
        <v>155</v>
      </c>
      <c r="K14" s="3" t="s">
        <v>171</v>
      </c>
      <c r="L14" s="3" t="s">
        <v>215</v>
      </c>
      <c r="M14" s="4" t="s">
        <v>217</v>
      </c>
    </row>
    <row r="15" spans="1:13" ht="130.5" customHeight="1" x14ac:dyDescent="0.25">
      <c r="A15" s="2">
        <v>129</v>
      </c>
      <c r="B15" s="3" t="s">
        <v>7</v>
      </c>
      <c r="C15" s="3" t="s">
        <v>8</v>
      </c>
      <c r="D15" s="4" t="s">
        <v>23</v>
      </c>
      <c r="E15" s="3" t="s">
        <v>27</v>
      </c>
      <c r="F15" s="3" t="s">
        <v>29</v>
      </c>
      <c r="G15" s="3" t="s">
        <v>38</v>
      </c>
      <c r="H15" s="3" t="s">
        <v>56</v>
      </c>
      <c r="I15" s="3" t="s">
        <v>112</v>
      </c>
      <c r="J15" s="4" t="s">
        <v>155</v>
      </c>
      <c r="K15" s="3" t="s">
        <v>172</v>
      </c>
      <c r="L15" s="3" t="s">
        <v>215</v>
      </c>
      <c r="M15" s="4" t="s">
        <v>217</v>
      </c>
    </row>
    <row r="16" spans="1:13" ht="79.5" customHeight="1" x14ac:dyDescent="0.25">
      <c r="A16" s="2">
        <v>130</v>
      </c>
      <c r="B16" s="3" t="s">
        <v>7</v>
      </c>
      <c r="C16" s="3" t="s">
        <v>7</v>
      </c>
      <c r="D16" s="4" t="s">
        <v>25</v>
      </c>
      <c r="E16" s="3" t="s">
        <v>27</v>
      </c>
      <c r="F16" s="3" t="s">
        <v>29</v>
      </c>
      <c r="G16" s="3" t="s">
        <v>39</v>
      </c>
      <c r="H16" s="3" t="s">
        <v>57</v>
      </c>
      <c r="I16" s="3" t="s">
        <v>113</v>
      </c>
      <c r="J16" s="4" t="s">
        <v>155</v>
      </c>
      <c r="K16" s="3" t="s">
        <v>173</v>
      </c>
      <c r="L16" s="3" t="s">
        <v>215</v>
      </c>
      <c r="M16" s="4" t="s">
        <v>217</v>
      </c>
    </row>
    <row r="17" spans="1:13" ht="141" customHeight="1" x14ac:dyDescent="0.25">
      <c r="A17" s="2">
        <v>131</v>
      </c>
      <c r="B17" s="3" t="s">
        <v>7</v>
      </c>
      <c r="C17" s="3" t="s">
        <v>7</v>
      </c>
      <c r="D17" s="4" t="s">
        <v>25</v>
      </c>
      <c r="E17" s="3" t="s">
        <v>27</v>
      </c>
      <c r="F17" s="3" t="s">
        <v>33</v>
      </c>
      <c r="G17" s="3" t="s">
        <v>39</v>
      </c>
      <c r="H17" s="3" t="s">
        <v>58</v>
      </c>
      <c r="I17" s="3" t="s">
        <v>114</v>
      </c>
      <c r="J17" s="4" t="s">
        <v>155</v>
      </c>
      <c r="K17" s="3" t="s">
        <v>174</v>
      </c>
      <c r="L17" s="3" t="s">
        <v>215</v>
      </c>
      <c r="M17" s="4" t="s">
        <v>217</v>
      </c>
    </row>
    <row r="18" spans="1:13" ht="109.5" customHeight="1" x14ac:dyDescent="0.25">
      <c r="A18" s="2">
        <v>132</v>
      </c>
      <c r="B18" s="3" t="s">
        <v>7</v>
      </c>
      <c r="C18" s="3" t="s">
        <v>9</v>
      </c>
      <c r="D18" s="4" t="s">
        <v>25</v>
      </c>
      <c r="E18" s="3" t="s">
        <v>27</v>
      </c>
      <c r="F18" s="3" t="s">
        <v>34</v>
      </c>
      <c r="G18" s="3" t="s">
        <v>39</v>
      </c>
      <c r="H18" s="3" t="s">
        <v>59</v>
      </c>
      <c r="I18" s="3" t="s">
        <v>115</v>
      </c>
      <c r="J18" s="4" t="s">
        <v>155</v>
      </c>
      <c r="K18" s="3" t="s">
        <v>175</v>
      </c>
      <c r="L18" s="3" t="s">
        <v>215</v>
      </c>
      <c r="M18" s="4" t="s">
        <v>217</v>
      </c>
    </row>
    <row r="19" spans="1:13" ht="79.5" customHeight="1" x14ac:dyDescent="0.25">
      <c r="A19" s="2">
        <v>133</v>
      </c>
      <c r="B19" s="3" t="s">
        <v>7</v>
      </c>
      <c r="C19" s="3" t="s">
        <v>7</v>
      </c>
      <c r="D19" s="4" t="s">
        <v>23</v>
      </c>
      <c r="E19" s="3" t="s">
        <v>27</v>
      </c>
      <c r="F19" s="3" t="s">
        <v>29</v>
      </c>
      <c r="G19" s="3" t="s">
        <v>39</v>
      </c>
      <c r="H19" s="3" t="s">
        <v>60</v>
      </c>
      <c r="I19" s="3" t="s">
        <v>116</v>
      </c>
      <c r="J19" s="4" t="s">
        <v>155</v>
      </c>
      <c r="K19" s="3" t="s">
        <v>176</v>
      </c>
      <c r="L19" s="3" t="s">
        <v>215</v>
      </c>
      <c r="M19" s="4" t="s">
        <v>217</v>
      </c>
    </row>
    <row r="20" spans="1:13" ht="90" customHeight="1" x14ac:dyDescent="0.25">
      <c r="A20" s="2">
        <v>134</v>
      </c>
      <c r="B20" s="3" t="s">
        <v>7</v>
      </c>
      <c r="C20" s="3" t="s">
        <v>7</v>
      </c>
      <c r="D20" s="4" t="s">
        <v>25</v>
      </c>
      <c r="E20" s="3" t="s">
        <v>27</v>
      </c>
      <c r="F20" s="3" t="s">
        <v>29</v>
      </c>
      <c r="G20" s="3" t="s">
        <v>39</v>
      </c>
      <c r="H20" s="3" t="s">
        <v>61</v>
      </c>
      <c r="I20" s="3" t="s">
        <v>117</v>
      </c>
      <c r="J20" s="4" t="s">
        <v>155</v>
      </c>
      <c r="K20" s="3" t="s">
        <v>177</v>
      </c>
      <c r="L20" s="3" t="s">
        <v>7</v>
      </c>
      <c r="M20" s="4" t="s">
        <v>218</v>
      </c>
    </row>
    <row r="21" spans="1:13" ht="58.5" customHeight="1" x14ac:dyDescent="0.25">
      <c r="A21" s="2">
        <v>135</v>
      </c>
      <c r="B21" s="3" t="s">
        <v>7</v>
      </c>
      <c r="C21" s="3" t="s">
        <v>7</v>
      </c>
      <c r="D21" s="4" t="s">
        <v>25</v>
      </c>
      <c r="E21" s="3" t="s">
        <v>27</v>
      </c>
      <c r="F21" s="3" t="s">
        <v>29</v>
      </c>
      <c r="G21" s="3" t="s">
        <v>39</v>
      </c>
      <c r="H21" s="3" t="s">
        <v>62</v>
      </c>
      <c r="I21" s="3" t="s">
        <v>118</v>
      </c>
      <c r="J21" s="4" t="s">
        <v>155</v>
      </c>
      <c r="K21" s="3" t="s">
        <v>178</v>
      </c>
      <c r="L21" s="3" t="s">
        <v>215</v>
      </c>
      <c r="M21" s="4" t="s">
        <v>217</v>
      </c>
    </row>
    <row r="22" spans="1:13" ht="100.5" customHeight="1" x14ac:dyDescent="0.25">
      <c r="A22" s="2">
        <v>136</v>
      </c>
      <c r="B22" s="3" t="s">
        <v>7</v>
      </c>
      <c r="C22" s="3" t="s">
        <v>13</v>
      </c>
      <c r="D22" s="4" t="s">
        <v>21</v>
      </c>
      <c r="E22" s="3" t="s">
        <v>27</v>
      </c>
      <c r="F22" s="3" t="s">
        <v>29</v>
      </c>
      <c r="G22" s="3" t="s">
        <v>39</v>
      </c>
      <c r="H22" s="3" t="s">
        <v>63</v>
      </c>
      <c r="I22" s="3" t="s">
        <v>119</v>
      </c>
      <c r="J22" s="4" t="s">
        <v>155</v>
      </c>
      <c r="K22" s="3" t="s">
        <v>179</v>
      </c>
      <c r="L22" s="3" t="s">
        <v>13</v>
      </c>
      <c r="M22" s="4" t="s">
        <v>217</v>
      </c>
    </row>
    <row r="23" spans="1:13" ht="141" customHeight="1" x14ac:dyDescent="0.25">
      <c r="A23" s="2">
        <v>137</v>
      </c>
      <c r="B23" s="3" t="s">
        <v>7</v>
      </c>
      <c r="C23" s="3" t="s">
        <v>12</v>
      </c>
      <c r="D23" s="4" t="s">
        <v>21</v>
      </c>
      <c r="E23" s="3" t="s">
        <v>27</v>
      </c>
      <c r="F23" s="3" t="s">
        <v>29</v>
      </c>
      <c r="G23" s="3" t="s">
        <v>38</v>
      </c>
      <c r="H23" s="3" t="s">
        <v>64</v>
      </c>
      <c r="I23" s="3" t="s">
        <v>120</v>
      </c>
      <c r="J23" s="4" t="s">
        <v>155</v>
      </c>
      <c r="K23" s="3" t="s">
        <v>180</v>
      </c>
      <c r="L23" s="3" t="s">
        <v>12</v>
      </c>
      <c r="M23" s="4" t="s">
        <v>217</v>
      </c>
    </row>
    <row r="24" spans="1:13" ht="79.5" customHeight="1" x14ac:dyDescent="0.25">
      <c r="A24" s="2">
        <v>138</v>
      </c>
      <c r="B24" s="3" t="s">
        <v>7</v>
      </c>
      <c r="C24" s="3" t="s">
        <v>7</v>
      </c>
      <c r="D24" s="4" t="s">
        <v>23</v>
      </c>
      <c r="E24" s="3" t="s">
        <v>27</v>
      </c>
      <c r="F24" s="3" t="s">
        <v>29</v>
      </c>
      <c r="G24" s="3" t="s">
        <v>38</v>
      </c>
      <c r="H24" s="3" t="s">
        <v>65</v>
      </c>
      <c r="I24" s="3" t="s">
        <v>121</v>
      </c>
      <c r="J24" s="4" t="s">
        <v>155</v>
      </c>
      <c r="K24" s="3" t="s">
        <v>181</v>
      </c>
      <c r="L24" s="3" t="s">
        <v>7</v>
      </c>
      <c r="M24" s="4" t="s">
        <v>218</v>
      </c>
    </row>
    <row r="25" spans="1:13" ht="90" customHeight="1" x14ac:dyDescent="0.25">
      <c r="A25" s="2">
        <v>139</v>
      </c>
      <c r="B25" s="3" t="s">
        <v>7</v>
      </c>
      <c r="C25" s="3" t="s">
        <v>12</v>
      </c>
      <c r="D25" s="4" t="s">
        <v>21</v>
      </c>
      <c r="E25" s="3" t="s">
        <v>27</v>
      </c>
      <c r="F25" s="3" t="s">
        <v>29</v>
      </c>
      <c r="G25" s="3" t="s">
        <v>39</v>
      </c>
      <c r="H25" s="3" t="s">
        <v>66</v>
      </c>
      <c r="I25" s="3" t="s">
        <v>122</v>
      </c>
      <c r="J25" s="4" t="s">
        <v>155</v>
      </c>
      <c r="K25" s="3" t="s">
        <v>182</v>
      </c>
      <c r="L25" s="3" t="s">
        <v>12</v>
      </c>
      <c r="M25" s="4" t="s">
        <v>217</v>
      </c>
    </row>
    <row r="26" spans="1:13" ht="162" customHeight="1" x14ac:dyDescent="0.25">
      <c r="A26" s="2">
        <v>140</v>
      </c>
      <c r="B26" s="3" t="s">
        <v>7</v>
      </c>
      <c r="C26" s="3" t="s">
        <v>8</v>
      </c>
      <c r="D26" s="4" t="s">
        <v>23</v>
      </c>
      <c r="E26" s="3" t="s">
        <v>27</v>
      </c>
      <c r="F26" s="3" t="s">
        <v>29</v>
      </c>
      <c r="G26" s="3" t="s">
        <v>38</v>
      </c>
      <c r="H26" s="3" t="s">
        <v>67</v>
      </c>
      <c r="I26" s="3" t="s">
        <v>123</v>
      </c>
      <c r="J26" s="4" t="s">
        <v>155</v>
      </c>
      <c r="K26" s="3" t="s">
        <v>183</v>
      </c>
      <c r="L26" s="3" t="s">
        <v>215</v>
      </c>
      <c r="M26" s="4" t="s">
        <v>217</v>
      </c>
    </row>
    <row r="27" spans="1:13" ht="193.5" customHeight="1" x14ac:dyDescent="0.25">
      <c r="A27" s="2">
        <v>141</v>
      </c>
      <c r="B27" s="3" t="s">
        <v>7</v>
      </c>
      <c r="C27" s="3" t="s">
        <v>8</v>
      </c>
      <c r="D27" s="4" t="s">
        <v>25</v>
      </c>
      <c r="E27" s="3" t="s">
        <v>27</v>
      </c>
      <c r="F27" s="3" t="s">
        <v>35</v>
      </c>
      <c r="G27" s="3" t="s">
        <v>39</v>
      </c>
      <c r="H27" s="3" t="s">
        <v>68</v>
      </c>
      <c r="I27" s="3" t="s">
        <v>124</v>
      </c>
      <c r="J27" s="4" t="s">
        <v>155</v>
      </c>
      <c r="K27" s="3" t="s">
        <v>184</v>
      </c>
      <c r="L27" s="3" t="s">
        <v>8</v>
      </c>
      <c r="M27" s="4" t="s">
        <v>218</v>
      </c>
    </row>
    <row r="28" spans="1:13" ht="48" customHeight="1" x14ac:dyDescent="0.25">
      <c r="A28" s="2">
        <v>142</v>
      </c>
      <c r="B28" s="3" t="s">
        <v>8</v>
      </c>
      <c r="C28" s="3" t="s">
        <v>8</v>
      </c>
      <c r="D28" s="4" t="s">
        <v>25</v>
      </c>
      <c r="E28" s="3" t="s">
        <v>27</v>
      </c>
      <c r="F28" s="3" t="s">
        <v>29</v>
      </c>
      <c r="G28" s="3" t="s">
        <v>39</v>
      </c>
      <c r="H28" s="3" t="s">
        <v>69</v>
      </c>
      <c r="I28" s="3" t="s">
        <v>125</v>
      </c>
      <c r="J28" s="4" t="s">
        <v>155</v>
      </c>
      <c r="K28" s="3" t="s">
        <v>185</v>
      </c>
      <c r="L28" s="3" t="s">
        <v>215</v>
      </c>
      <c r="M28" s="4" t="s">
        <v>217</v>
      </c>
    </row>
    <row r="29" spans="1:13" ht="130.5" customHeight="1" x14ac:dyDescent="0.25">
      <c r="A29" s="2">
        <v>143</v>
      </c>
      <c r="B29" s="3" t="s">
        <v>8</v>
      </c>
      <c r="C29" s="3" t="s">
        <v>8</v>
      </c>
      <c r="D29" s="4" t="s">
        <v>25</v>
      </c>
      <c r="E29" s="3" t="s">
        <v>27</v>
      </c>
      <c r="F29" s="3" t="s">
        <v>29</v>
      </c>
      <c r="G29" s="3" t="s">
        <v>39</v>
      </c>
      <c r="H29" s="3" t="s">
        <v>70</v>
      </c>
      <c r="I29" s="3" t="s">
        <v>126</v>
      </c>
      <c r="J29" s="4" t="s">
        <v>155</v>
      </c>
      <c r="K29" s="3" t="s">
        <v>186</v>
      </c>
      <c r="L29" s="3" t="s">
        <v>8</v>
      </c>
      <c r="M29" s="4" t="s">
        <v>218</v>
      </c>
    </row>
    <row r="30" spans="1:13" ht="162" customHeight="1" x14ac:dyDescent="0.25">
      <c r="A30" s="2">
        <v>144</v>
      </c>
      <c r="B30" s="3" t="s">
        <v>8</v>
      </c>
      <c r="C30" s="3" t="s">
        <v>10</v>
      </c>
      <c r="D30" s="4" t="s">
        <v>21</v>
      </c>
      <c r="E30" s="3" t="s">
        <v>27</v>
      </c>
      <c r="F30" s="3" t="s">
        <v>29</v>
      </c>
      <c r="G30" s="3" t="s">
        <v>38</v>
      </c>
      <c r="H30" s="3" t="s">
        <v>71</v>
      </c>
      <c r="I30" s="3" t="s">
        <v>127</v>
      </c>
      <c r="J30" s="4" t="s">
        <v>155</v>
      </c>
      <c r="K30" s="3" t="s">
        <v>187</v>
      </c>
      <c r="L30" s="3" t="s">
        <v>215</v>
      </c>
      <c r="M30" s="4" t="s">
        <v>217</v>
      </c>
    </row>
    <row r="31" spans="1:13" ht="90" customHeight="1" x14ac:dyDescent="0.25">
      <c r="A31" s="2">
        <v>145</v>
      </c>
      <c r="B31" s="3" t="s">
        <v>8</v>
      </c>
      <c r="C31" s="3" t="s">
        <v>12</v>
      </c>
      <c r="D31" s="4" t="s">
        <v>21</v>
      </c>
      <c r="E31" s="3" t="s">
        <v>27</v>
      </c>
      <c r="F31" s="3" t="s">
        <v>29</v>
      </c>
      <c r="G31" s="3" t="s">
        <v>39</v>
      </c>
      <c r="H31" s="3" t="s">
        <v>72</v>
      </c>
      <c r="I31" s="3" t="s">
        <v>128</v>
      </c>
      <c r="J31" s="4" t="s">
        <v>155</v>
      </c>
      <c r="K31" s="3" t="s">
        <v>188</v>
      </c>
      <c r="L31" s="3" t="s">
        <v>12</v>
      </c>
      <c r="M31" s="4" t="s">
        <v>217</v>
      </c>
    </row>
    <row r="32" spans="1:13" ht="100.5" customHeight="1" x14ac:dyDescent="0.25">
      <c r="A32" s="2">
        <v>146</v>
      </c>
      <c r="B32" s="3" t="s">
        <v>8</v>
      </c>
      <c r="C32" s="3" t="s">
        <v>9</v>
      </c>
      <c r="D32" s="4" t="s">
        <v>25</v>
      </c>
      <c r="E32" s="3" t="s">
        <v>27</v>
      </c>
      <c r="F32" s="3" t="s">
        <v>29</v>
      </c>
      <c r="G32" s="3" t="s">
        <v>39</v>
      </c>
      <c r="H32" s="3" t="s">
        <v>73</v>
      </c>
      <c r="I32" s="3" t="s">
        <v>129</v>
      </c>
      <c r="J32" s="4" t="s">
        <v>155</v>
      </c>
      <c r="K32" s="3" t="s">
        <v>189</v>
      </c>
      <c r="L32" s="3" t="s">
        <v>215</v>
      </c>
      <c r="M32" s="4" t="s">
        <v>217</v>
      </c>
    </row>
    <row r="33" spans="1:13" ht="234" customHeight="1" x14ac:dyDescent="0.25">
      <c r="A33" s="2">
        <v>147</v>
      </c>
      <c r="B33" s="3" t="s">
        <v>9</v>
      </c>
      <c r="C33" s="3" t="s">
        <v>9</v>
      </c>
      <c r="D33" s="4" t="s">
        <v>24</v>
      </c>
      <c r="E33" s="3" t="s">
        <v>27</v>
      </c>
      <c r="F33" s="3" t="s">
        <v>29</v>
      </c>
      <c r="G33" s="3" t="s">
        <v>40</v>
      </c>
      <c r="H33" s="3" t="s">
        <v>74</v>
      </c>
      <c r="I33" s="3" t="s">
        <v>130</v>
      </c>
      <c r="J33" s="4" t="s">
        <v>155</v>
      </c>
      <c r="K33" s="3" t="s">
        <v>190</v>
      </c>
      <c r="L33" s="3" t="s">
        <v>215</v>
      </c>
      <c r="M33" s="4" t="s">
        <v>217</v>
      </c>
    </row>
    <row r="34" spans="1:13" ht="100.5" customHeight="1" x14ac:dyDescent="0.25">
      <c r="A34" s="2">
        <v>148</v>
      </c>
      <c r="B34" s="3" t="s">
        <v>10</v>
      </c>
      <c r="C34" s="3" t="s">
        <v>10</v>
      </c>
      <c r="D34" s="4" t="s">
        <v>25</v>
      </c>
      <c r="E34" s="3" t="s">
        <v>27</v>
      </c>
      <c r="F34" s="3" t="s">
        <v>29</v>
      </c>
      <c r="G34" s="3" t="s">
        <v>38</v>
      </c>
      <c r="H34" s="3" t="s">
        <v>75</v>
      </c>
      <c r="I34" s="3" t="s">
        <v>131</v>
      </c>
      <c r="J34" s="4" t="s">
        <v>155</v>
      </c>
      <c r="K34" s="3" t="s">
        <v>191</v>
      </c>
      <c r="L34" s="3" t="s">
        <v>10</v>
      </c>
      <c r="M34" s="4" t="s">
        <v>218</v>
      </c>
    </row>
    <row r="35" spans="1:13" ht="151.5" customHeight="1" x14ac:dyDescent="0.25">
      <c r="A35" s="2">
        <v>149</v>
      </c>
      <c r="B35" s="3" t="s">
        <v>10</v>
      </c>
      <c r="C35" s="3" t="s">
        <v>12</v>
      </c>
      <c r="D35" s="4" t="s">
        <v>25</v>
      </c>
      <c r="E35" s="3" t="s">
        <v>27</v>
      </c>
      <c r="F35" s="3" t="s">
        <v>29</v>
      </c>
      <c r="G35" s="3" t="s">
        <v>39</v>
      </c>
      <c r="H35" s="3" t="s">
        <v>76</v>
      </c>
      <c r="I35" s="3" t="s">
        <v>132</v>
      </c>
      <c r="J35" s="4" t="s">
        <v>155</v>
      </c>
      <c r="K35" s="3" t="s">
        <v>192</v>
      </c>
      <c r="L35" s="3" t="s">
        <v>12</v>
      </c>
      <c r="M35" s="4" t="s">
        <v>218</v>
      </c>
    </row>
    <row r="36" spans="1:13" ht="69" customHeight="1" x14ac:dyDescent="0.25">
      <c r="A36" s="2">
        <v>150</v>
      </c>
      <c r="B36" s="3" t="s">
        <v>11</v>
      </c>
      <c r="C36" s="3" t="s">
        <v>11</v>
      </c>
      <c r="D36" s="4" t="s">
        <v>25</v>
      </c>
      <c r="E36" s="3" t="s">
        <v>27</v>
      </c>
      <c r="F36" s="3" t="s">
        <v>29</v>
      </c>
      <c r="G36" s="3" t="s">
        <v>39</v>
      </c>
      <c r="H36" s="3" t="s">
        <v>77</v>
      </c>
      <c r="I36" s="3" t="s">
        <v>133</v>
      </c>
      <c r="J36" s="4" t="s">
        <v>155</v>
      </c>
      <c r="K36" s="3" t="s">
        <v>193</v>
      </c>
      <c r="L36" s="3" t="s">
        <v>11</v>
      </c>
      <c r="M36" s="4" t="s">
        <v>218</v>
      </c>
    </row>
    <row r="37" spans="1:13" ht="213" customHeight="1" x14ac:dyDescent="0.25">
      <c r="A37" s="2">
        <v>151</v>
      </c>
      <c r="B37" s="3" t="s">
        <v>11</v>
      </c>
      <c r="C37" s="3" t="s">
        <v>12</v>
      </c>
      <c r="D37" s="4" t="s">
        <v>24</v>
      </c>
      <c r="E37" s="3" t="s">
        <v>27</v>
      </c>
      <c r="F37" s="3" t="s">
        <v>29</v>
      </c>
      <c r="G37" s="3" t="s">
        <v>40</v>
      </c>
      <c r="H37" s="3" t="s">
        <v>78</v>
      </c>
      <c r="I37" s="3" t="s">
        <v>134</v>
      </c>
      <c r="J37" s="4" t="s">
        <v>155</v>
      </c>
      <c r="K37" s="3" t="s">
        <v>194</v>
      </c>
      <c r="L37" s="3" t="s">
        <v>215</v>
      </c>
      <c r="M37" s="4" t="s">
        <v>217</v>
      </c>
    </row>
    <row r="38" spans="1:13" ht="120" customHeight="1" x14ac:dyDescent="0.25">
      <c r="A38" s="2">
        <v>152</v>
      </c>
      <c r="B38" s="3" t="s">
        <v>11</v>
      </c>
      <c r="C38" s="3" t="s">
        <v>11</v>
      </c>
      <c r="D38" s="4" t="s">
        <v>23</v>
      </c>
      <c r="E38" s="3" t="s">
        <v>27</v>
      </c>
      <c r="F38" s="3" t="s">
        <v>29</v>
      </c>
      <c r="G38" s="3" t="s">
        <v>38</v>
      </c>
      <c r="H38" s="3" t="s">
        <v>79</v>
      </c>
      <c r="I38" s="3" t="s">
        <v>135</v>
      </c>
      <c r="J38" s="4" t="s">
        <v>155</v>
      </c>
      <c r="K38" s="3" t="s">
        <v>195</v>
      </c>
      <c r="L38" s="3" t="s">
        <v>215</v>
      </c>
      <c r="M38" s="4" t="s">
        <v>217</v>
      </c>
    </row>
    <row r="39" spans="1:13" ht="130.5" customHeight="1" x14ac:dyDescent="0.25">
      <c r="A39" s="2">
        <v>153</v>
      </c>
      <c r="B39" s="3" t="s">
        <v>11</v>
      </c>
      <c r="C39" s="3" t="s">
        <v>12</v>
      </c>
      <c r="D39" s="4" t="s">
        <v>22</v>
      </c>
      <c r="E39" s="3" t="s">
        <v>27</v>
      </c>
      <c r="F39" s="3" t="s">
        <v>29</v>
      </c>
      <c r="G39" s="3" t="s">
        <v>40</v>
      </c>
      <c r="H39" s="3" t="s">
        <v>80</v>
      </c>
      <c r="I39" s="3" t="s">
        <v>136</v>
      </c>
      <c r="J39" s="4" t="s">
        <v>157</v>
      </c>
      <c r="K39" s="3" t="s">
        <v>196</v>
      </c>
      <c r="L39" s="3" t="s">
        <v>215</v>
      </c>
      <c r="M39" s="4" t="s">
        <v>217</v>
      </c>
    </row>
    <row r="40" spans="1:13" ht="130.5" customHeight="1" x14ac:dyDescent="0.25">
      <c r="A40" s="2">
        <v>154</v>
      </c>
      <c r="B40" s="3" t="s">
        <v>11</v>
      </c>
      <c r="C40" s="3" t="s">
        <v>12</v>
      </c>
      <c r="D40" s="4" t="s">
        <v>22</v>
      </c>
      <c r="E40" s="3" t="s">
        <v>27</v>
      </c>
      <c r="F40" s="3" t="s">
        <v>29</v>
      </c>
      <c r="G40" s="3" t="s">
        <v>40</v>
      </c>
      <c r="H40" s="3" t="s">
        <v>81</v>
      </c>
      <c r="I40" s="3" t="s">
        <v>137</v>
      </c>
      <c r="J40" s="4" t="s">
        <v>157</v>
      </c>
      <c r="K40" s="3" t="s">
        <v>197</v>
      </c>
      <c r="L40" s="3" t="s">
        <v>215</v>
      </c>
      <c r="M40" s="4" t="s">
        <v>217</v>
      </c>
    </row>
    <row r="41" spans="1:13" ht="100.5" customHeight="1" x14ac:dyDescent="0.25">
      <c r="A41" s="2">
        <v>155</v>
      </c>
      <c r="B41" s="3" t="s">
        <v>12</v>
      </c>
      <c r="C41" s="3" t="s">
        <v>13</v>
      </c>
      <c r="D41" s="4" t="s">
        <v>22</v>
      </c>
      <c r="E41" s="3" t="s">
        <v>27</v>
      </c>
      <c r="F41" s="3" t="s">
        <v>29</v>
      </c>
      <c r="G41" s="3" t="s">
        <v>40</v>
      </c>
      <c r="H41" s="3" t="s">
        <v>82</v>
      </c>
      <c r="I41" s="3" t="s">
        <v>138</v>
      </c>
      <c r="J41" s="4" t="s">
        <v>155</v>
      </c>
      <c r="K41" s="3" t="s">
        <v>198</v>
      </c>
      <c r="L41" s="3" t="s">
        <v>13</v>
      </c>
      <c r="M41" s="4" t="s">
        <v>217</v>
      </c>
    </row>
    <row r="42" spans="1:13" ht="151.5" customHeight="1" x14ac:dyDescent="0.25">
      <c r="A42" s="2">
        <v>156</v>
      </c>
      <c r="B42" s="3" t="s">
        <v>12</v>
      </c>
      <c r="C42" s="3" t="s">
        <v>12</v>
      </c>
      <c r="D42" s="4" t="s">
        <v>24</v>
      </c>
      <c r="E42" s="3" t="s">
        <v>27</v>
      </c>
      <c r="F42" s="3" t="s">
        <v>29</v>
      </c>
      <c r="G42" s="3" t="s">
        <v>40</v>
      </c>
      <c r="H42" s="3" t="s">
        <v>83</v>
      </c>
      <c r="I42" s="3" t="s">
        <v>139</v>
      </c>
      <c r="J42" s="4" t="s">
        <v>155</v>
      </c>
      <c r="K42" s="3" t="s">
        <v>199</v>
      </c>
      <c r="L42" s="3" t="s">
        <v>215</v>
      </c>
      <c r="M42" s="4" t="s">
        <v>217</v>
      </c>
    </row>
    <row r="43" spans="1:13" ht="79.5" customHeight="1" x14ac:dyDescent="0.25">
      <c r="A43" s="2">
        <v>157</v>
      </c>
      <c r="B43" s="3" t="s">
        <v>13</v>
      </c>
      <c r="C43" s="3" t="s">
        <v>13</v>
      </c>
      <c r="D43" s="4" t="s">
        <v>24</v>
      </c>
      <c r="E43" s="3" t="s">
        <v>27</v>
      </c>
      <c r="F43" s="3" t="s">
        <v>29</v>
      </c>
      <c r="G43" s="3" t="s">
        <v>41</v>
      </c>
      <c r="H43" s="3" t="s">
        <v>84</v>
      </c>
      <c r="I43" s="3" t="s">
        <v>140</v>
      </c>
      <c r="J43" s="4" t="s">
        <v>156</v>
      </c>
      <c r="K43" s="3" t="s">
        <v>200</v>
      </c>
      <c r="L43" s="3" t="s">
        <v>215</v>
      </c>
      <c r="M43" s="4" t="s">
        <v>217</v>
      </c>
    </row>
    <row r="44" spans="1:13" ht="151.5" customHeight="1" x14ac:dyDescent="0.25">
      <c r="A44" s="2">
        <v>158</v>
      </c>
      <c r="B44" s="3" t="s">
        <v>13</v>
      </c>
      <c r="C44" s="3" t="s">
        <v>13</v>
      </c>
      <c r="D44" s="4" t="s">
        <v>25</v>
      </c>
      <c r="E44" s="3" t="s">
        <v>27</v>
      </c>
      <c r="F44" s="3" t="s">
        <v>29</v>
      </c>
      <c r="G44" s="3" t="s">
        <v>39</v>
      </c>
      <c r="H44" s="3" t="s">
        <v>85</v>
      </c>
      <c r="I44" s="3" t="s">
        <v>141</v>
      </c>
      <c r="J44" s="4" t="s">
        <v>155</v>
      </c>
      <c r="K44" s="3" t="s">
        <v>201</v>
      </c>
      <c r="L44" s="3" t="s">
        <v>215</v>
      </c>
      <c r="M44" s="4" t="s">
        <v>217</v>
      </c>
    </row>
    <row r="45" spans="1:13" ht="100.5" customHeight="1" x14ac:dyDescent="0.25">
      <c r="A45" s="2">
        <v>159</v>
      </c>
      <c r="B45" s="3" t="s">
        <v>13</v>
      </c>
      <c r="C45" s="3" t="s">
        <v>13</v>
      </c>
      <c r="D45" s="4" t="s">
        <v>23</v>
      </c>
      <c r="E45" s="3" t="s">
        <v>27</v>
      </c>
      <c r="F45" s="3" t="s">
        <v>29</v>
      </c>
      <c r="G45" s="3" t="s">
        <v>38</v>
      </c>
      <c r="H45" s="3" t="s">
        <v>86</v>
      </c>
      <c r="I45" s="3" t="s">
        <v>142</v>
      </c>
      <c r="J45" s="4" t="s">
        <v>155</v>
      </c>
      <c r="K45" s="3" t="s">
        <v>202</v>
      </c>
      <c r="L45" s="3" t="s">
        <v>215</v>
      </c>
      <c r="M45" s="4" t="s">
        <v>217</v>
      </c>
    </row>
    <row r="46" spans="1:13" ht="109.5" customHeight="1" x14ac:dyDescent="0.25">
      <c r="A46" s="2">
        <v>160</v>
      </c>
      <c r="B46" s="3" t="s">
        <v>13</v>
      </c>
      <c r="C46" s="3" t="s">
        <v>14</v>
      </c>
      <c r="D46" s="4" t="s">
        <v>23</v>
      </c>
      <c r="E46" s="3" t="s">
        <v>27</v>
      </c>
      <c r="F46" s="3" t="s">
        <v>29</v>
      </c>
      <c r="G46" s="3" t="s">
        <v>39</v>
      </c>
      <c r="H46" s="3" t="s">
        <v>87</v>
      </c>
      <c r="I46" s="3" t="s">
        <v>143</v>
      </c>
      <c r="J46" s="4" t="s">
        <v>155</v>
      </c>
      <c r="K46" s="3" t="s">
        <v>203</v>
      </c>
      <c r="L46" s="3" t="s">
        <v>215</v>
      </c>
      <c r="M46" s="4" t="s">
        <v>217</v>
      </c>
    </row>
    <row r="47" spans="1:13" ht="109.5" customHeight="1" x14ac:dyDescent="0.25">
      <c r="A47" s="2">
        <v>161</v>
      </c>
      <c r="B47" s="3" t="s">
        <v>14</v>
      </c>
      <c r="C47" s="3" t="s">
        <v>14</v>
      </c>
      <c r="D47" s="4" t="s">
        <v>25</v>
      </c>
      <c r="E47" s="3" t="s">
        <v>27</v>
      </c>
      <c r="F47" s="3" t="s">
        <v>29</v>
      </c>
      <c r="G47" s="3" t="s">
        <v>39</v>
      </c>
      <c r="H47" s="3" t="s">
        <v>88</v>
      </c>
      <c r="I47" s="3" t="s">
        <v>144</v>
      </c>
      <c r="J47" s="4" t="s">
        <v>155</v>
      </c>
      <c r="K47" s="3" t="s">
        <v>204</v>
      </c>
      <c r="L47" s="3" t="s">
        <v>14</v>
      </c>
      <c r="M47" s="4" t="s">
        <v>218</v>
      </c>
    </row>
    <row r="48" spans="1:13" ht="120" customHeight="1" x14ac:dyDescent="0.25">
      <c r="A48" s="2">
        <v>162</v>
      </c>
      <c r="B48" s="3" t="s">
        <v>14</v>
      </c>
      <c r="C48" s="3" t="s">
        <v>18</v>
      </c>
      <c r="D48" s="4" t="s">
        <v>24</v>
      </c>
      <c r="E48" s="3" t="s">
        <v>27</v>
      </c>
      <c r="F48" s="3" t="s">
        <v>29</v>
      </c>
      <c r="G48" s="3" t="s">
        <v>40</v>
      </c>
      <c r="H48" s="3" t="s">
        <v>89</v>
      </c>
      <c r="I48" s="3" t="s">
        <v>145</v>
      </c>
      <c r="J48" s="4" t="s">
        <v>155</v>
      </c>
      <c r="K48" s="3" t="s">
        <v>205</v>
      </c>
      <c r="L48" s="3" t="s">
        <v>18</v>
      </c>
      <c r="M48" s="4" t="s">
        <v>217</v>
      </c>
    </row>
    <row r="49" spans="1:13" ht="69" customHeight="1" x14ac:dyDescent="0.25">
      <c r="A49" s="2">
        <v>163</v>
      </c>
      <c r="B49" s="3" t="s">
        <v>14</v>
      </c>
      <c r="C49" s="3" t="s">
        <v>19</v>
      </c>
      <c r="D49" s="4" t="s">
        <v>21</v>
      </c>
      <c r="E49" s="3" t="s">
        <v>27</v>
      </c>
      <c r="F49" s="3" t="s">
        <v>29</v>
      </c>
      <c r="G49" s="3" t="s">
        <v>38</v>
      </c>
      <c r="H49" s="3" t="s">
        <v>90</v>
      </c>
      <c r="I49" s="3" t="s">
        <v>146</v>
      </c>
      <c r="J49" s="4" t="s">
        <v>155</v>
      </c>
      <c r="K49" s="3" t="s">
        <v>206</v>
      </c>
      <c r="L49" s="3" t="s">
        <v>215</v>
      </c>
      <c r="M49" s="4" t="s">
        <v>217</v>
      </c>
    </row>
    <row r="50" spans="1:13" ht="141" customHeight="1" x14ac:dyDescent="0.25">
      <c r="A50" s="2">
        <v>164</v>
      </c>
      <c r="B50" s="3" t="s">
        <v>14</v>
      </c>
      <c r="C50" s="3" t="s">
        <v>15</v>
      </c>
      <c r="D50" s="4" t="s">
        <v>24</v>
      </c>
      <c r="E50" s="3" t="s">
        <v>27</v>
      </c>
      <c r="F50" s="3" t="s">
        <v>29</v>
      </c>
      <c r="G50" s="3" t="s">
        <v>40</v>
      </c>
      <c r="H50" s="3" t="s">
        <v>91</v>
      </c>
      <c r="I50" s="3" t="s">
        <v>147</v>
      </c>
      <c r="J50" s="4" t="s">
        <v>155</v>
      </c>
      <c r="K50" s="3" t="s">
        <v>207</v>
      </c>
      <c r="L50" s="3" t="s">
        <v>215</v>
      </c>
      <c r="M50" s="4" t="s">
        <v>217</v>
      </c>
    </row>
    <row r="51" spans="1:13" ht="109.5" customHeight="1" x14ac:dyDescent="0.25">
      <c r="A51" s="2">
        <v>165</v>
      </c>
      <c r="B51" s="3" t="s">
        <v>14</v>
      </c>
      <c r="C51" s="3" t="s">
        <v>15</v>
      </c>
      <c r="D51" s="4" t="s">
        <v>24</v>
      </c>
      <c r="E51" s="3" t="s">
        <v>27</v>
      </c>
      <c r="F51" s="3" t="s">
        <v>36</v>
      </c>
      <c r="G51" s="3" t="s">
        <v>40</v>
      </c>
      <c r="H51" s="3" t="s">
        <v>92</v>
      </c>
      <c r="I51" s="3" t="s">
        <v>148</v>
      </c>
      <c r="J51" s="4" t="s">
        <v>156</v>
      </c>
      <c r="K51" s="3" t="s">
        <v>208</v>
      </c>
      <c r="L51" s="3" t="s">
        <v>215</v>
      </c>
      <c r="M51" s="4" t="s">
        <v>217</v>
      </c>
    </row>
    <row r="52" spans="1:13" ht="48" customHeight="1" x14ac:dyDescent="0.25">
      <c r="A52" s="2">
        <v>166</v>
      </c>
      <c r="B52" s="3" t="s">
        <v>14</v>
      </c>
      <c r="C52" s="3" t="s">
        <v>15</v>
      </c>
      <c r="D52" s="4" t="s">
        <v>24</v>
      </c>
      <c r="E52" s="3" t="s">
        <v>27</v>
      </c>
      <c r="F52" s="3" t="s">
        <v>36</v>
      </c>
      <c r="G52" s="3" t="s">
        <v>40</v>
      </c>
      <c r="H52" s="3" t="s">
        <v>93</v>
      </c>
      <c r="I52" s="3" t="s">
        <v>149</v>
      </c>
      <c r="J52" s="4" t="s">
        <v>155</v>
      </c>
      <c r="K52" s="3" t="s">
        <v>209</v>
      </c>
      <c r="L52" s="3" t="s">
        <v>18</v>
      </c>
      <c r="M52" s="4" t="s">
        <v>218</v>
      </c>
    </row>
    <row r="53" spans="1:13" ht="162" customHeight="1" x14ac:dyDescent="0.25">
      <c r="A53" s="2">
        <v>167</v>
      </c>
      <c r="B53" s="3" t="s">
        <v>15</v>
      </c>
      <c r="C53" s="3" t="s">
        <v>15</v>
      </c>
      <c r="D53" s="4" t="s">
        <v>25</v>
      </c>
      <c r="E53" s="3" t="s">
        <v>27</v>
      </c>
      <c r="F53" s="3" t="s">
        <v>29</v>
      </c>
      <c r="G53" s="3" t="s">
        <v>39</v>
      </c>
      <c r="H53" s="3" t="s">
        <v>94</v>
      </c>
      <c r="I53" s="3" t="s">
        <v>150</v>
      </c>
      <c r="J53" s="4" t="s">
        <v>155</v>
      </c>
      <c r="K53" s="3" t="s">
        <v>210</v>
      </c>
      <c r="L53" s="3" t="s">
        <v>15</v>
      </c>
      <c r="M53" s="4" t="s">
        <v>218</v>
      </c>
    </row>
    <row r="54" spans="1:13" ht="69" customHeight="1" x14ac:dyDescent="0.25">
      <c r="A54" s="2">
        <v>168</v>
      </c>
      <c r="B54" s="3" t="s">
        <v>15</v>
      </c>
      <c r="C54" s="3" t="s">
        <v>16</v>
      </c>
      <c r="D54" s="4" t="s">
        <v>23</v>
      </c>
      <c r="E54" s="3" t="s">
        <v>27</v>
      </c>
      <c r="F54" s="3" t="s">
        <v>29</v>
      </c>
      <c r="G54" s="3" t="s">
        <v>38</v>
      </c>
      <c r="H54" s="3" t="s">
        <v>95</v>
      </c>
      <c r="I54" s="3" t="s">
        <v>151</v>
      </c>
      <c r="J54" s="4" t="s">
        <v>155</v>
      </c>
      <c r="K54" s="3" t="s">
        <v>211</v>
      </c>
      <c r="L54" s="3" t="s">
        <v>215</v>
      </c>
      <c r="M54" s="4" t="s">
        <v>217</v>
      </c>
    </row>
    <row r="55" spans="1:13" ht="100.5" customHeight="1" x14ac:dyDescent="0.25">
      <c r="A55" s="2">
        <v>169</v>
      </c>
      <c r="B55" s="3" t="s">
        <v>16</v>
      </c>
      <c r="C55" s="3" t="s">
        <v>16</v>
      </c>
      <c r="D55" s="4" t="s">
        <v>24</v>
      </c>
      <c r="E55" s="3" t="s">
        <v>27</v>
      </c>
      <c r="F55" s="3" t="s">
        <v>29</v>
      </c>
      <c r="G55" s="3" t="s">
        <v>40</v>
      </c>
      <c r="H55" s="3" t="s">
        <v>96</v>
      </c>
      <c r="I55" s="3" t="s">
        <v>152</v>
      </c>
      <c r="J55" s="4" t="s">
        <v>155</v>
      </c>
      <c r="K55" s="3" t="s">
        <v>212</v>
      </c>
      <c r="L55" s="3" t="s">
        <v>16</v>
      </c>
      <c r="M55" s="4" t="s">
        <v>218</v>
      </c>
    </row>
    <row r="56" spans="1:13" ht="69" customHeight="1" x14ac:dyDescent="0.25">
      <c r="A56" s="2">
        <v>170</v>
      </c>
      <c r="B56" s="3" t="s">
        <v>16</v>
      </c>
      <c r="C56" s="3" t="s">
        <v>16</v>
      </c>
      <c r="D56" s="4" t="s">
        <v>25</v>
      </c>
      <c r="E56" s="3" t="s">
        <v>27</v>
      </c>
      <c r="F56" s="3" t="s">
        <v>34</v>
      </c>
      <c r="G56" s="3" t="s">
        <v>39</v>
      </c>
      <c r="H56" s="3" t="s">
        <v>97</v>
      </c>
      <c r="I56" s="3" t="s">
        <v>153</v>
      </c>
      <c r="J56" s="4" t="s">
        <v>155</v>
      </c>
      <c r="K56" s="3" t="s">
        <v>213</v>
      </c>
      <c r="L56" s="3" t="s">
        <v>16</v>
      </c>
      <c r="M56" s="4" t="s">
        <v>218</v>
      </c>
    </row>
    <row r="57" spans="1:13" x14ac:dyDescent="0.25">
      <c r="J57">
        <f>COUNTIF(J2:J56,"완료")</f>
        <v>49</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softnet</dc:creator>
  <cp:lastModifiedBy>softnet</cp:lastModifiedBy>
  <dcterms:created xsi:type="dcterms:W3CDTF">2026-03-04T07:09:42Z</dcterms:created>
  <dcterms:modified xsi:type="dcterms:W3CDTF">2026-03-04T07:11:55Z</dcterms:modified>
</cp:coreProperties>
</file>